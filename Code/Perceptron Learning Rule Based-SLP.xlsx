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FCA6E69A-0C16-48D1-A22F-07B4926FB586}" xr6:coauthVersionLast="47" xr6:coauthVersionMax="47" xr10:uidLastSave="{00000000-0000-0000-0000-000000000000}"/>
  <bookViews>
    <workbookView xWindow="-120" yWindow="-120" windowWidth="20730" windowHeight="11160" xr2:uid="{4B35FCDC-462D-4040-9A3C-85370C314D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" i="1" l="1"/>
  <c r="G30" i="1" s="1"/>
  <c r="I30" i="1" s="1"/>
  <c r="L30" i="1" l="1"/>
  <c r="K30" i="1"/>
  <c r="J30" i="1"/>
  <c r="O30" i="1" l="1"/>
  <c r="F31" i="1"/>
  <c r="G31" i="1" s="1"/>
  <c r="I31" i="1" s="1"/>
  <c r="K31" i="1" s="1"/>
  <c r="M30" i="1"/>
  <c r="N30" i="1"/>
  <c r="N31" i="1" l="1"/>
  <c r="J31" i="1"/>
  <c r="L31" i="1"/>
  <c r="O31" i="1" l="1"/>
  <c r="F32" i="1"/>
  <c r="G32" i="1" s="1"/>
  <c r="I32" i="1" s="1"/>
  <c r="K32" i="1" s="1"/>
  <c r="M31" i="1"/>
  <c r="J32" i="1"/>
  <c r="M32" i="1" l="1"/>
  <c r="L32" i="1"/>
  <c r="N32" i="1"/>
  <c r="O32" i="1" l="1"/>
  <c r="F33" i="1"/>
  <c r="G33" i="1" s="1"/>
  <c r="I33" i="1" s="1"/>
  <c r="K33" i="1" l="1"/>
  <c r="J33" i="1"/>
  <c r="L33" i="1"/>
  <c r="M33" i="1" l="1"/>
  <c r="F34" i="1"/>
  <c r="G34" i="1" s="1"/>
  <c r="I34" i="1" s="1"/>
  <c r="J34" i="1" s="1"/>
  <c r="L34" i="1"/>
  <c r="O33" i="1"/>
  <c r="N33" i="1"/>
  <c r="K34" i="1"/>
  <c r="M34" i="1" l="1"/>
  <c r="F35" i="1"/>
  <c r="G35" i="1" s="1"/>
  <c r="I35" i="1" s="1"/>
  <c r="J35" i="1" s="1"/>
  <c r="O34" i="1"/>
  <c r="N34" i="1"/>
  <c r="M35" i="1" l="1"/>
  <c r="K35" i="1"/>
  <c r="L35" i="1"/>
  <c r="N35" i="1" l="1"/>
  <c r="F36" i="1"/>
  <c r="G36" i="1" s="1"/>
  <c r="I36" i="1" s="1"/>
  <c r="J36" i="1" s="1"/>
  <c r="O35" i="1"/>
  <c r="L36" i="1" l="1"/>
  <c r="M36" i="1"/>
  <c r="K36" i="1"/>
  <c r="N36" i="1" l="1"/>
  <c r="F37" i="1"/>
  <c r="G37" i="1" s="1"/>
  <c r="I37" i="1" s="1"/>
  <c r="J37" i="1" s="1"/>
  <c r="O36" i="1"/>
  <c r="L37" i="1" l="1"/>
  <c r="M37" i="1"/>
  <c r="K37" i="1"/>
  <c r="N37" i="1" l="1"/>
  <c r="F38" i="1"/>
  <c r="G38" i="1" s="1"/>
  <c r="I38" i="1" s="1"/>
  <c r="J38" i="1" s="1"/>
  <c r="O37" i="1"/>
  <c r="M38" i="1" l="1"/>
  <c r="L38" i="1"/>
  <c r="K38" i="1"/>
  <c r="N38" i="1" l="1"/>
  <c r="O38" i="1"/>
  <c r="F39" i="1"/>
  <c r="G39" i="1" s="1"/>
  <c r="I39" i="1" s="1"/>
  <c r="J39" i="1" s="1"/>
  <c r="M39" i="1" l="1"/>
  <c r="L39" i="1"/>
  <c r="K39" i="1"/>
  <c r="N39" i="1" l="1"/>
  <c r="O39" i="1"/>
  <c r="F40" i="1"/>
  <c r="G40" i="1" s="1"/>
  <c r="I40" i="1" s="1"/>
  <c r="J40" i="1" s="1"/>
  <c r="M40" i="1" l="1"/>
  <c r="L40" i="1"/>
  <c r="K40" i="1"/>
  <c r="O40" i="1" l="1"/>
  <c r="N40" i="1"/>
  <c r="F41" i="1"/>
  <c r="G41" i="1" s="1"/>
  <c r="I41" i="1" s="1"/>
  <c r="J41" i="1" s="1"/>
  <c r="M41" i="1" l="1"/>
  <c r="K41" i="1"/>
  <c r="L41" i="1"/>
  <c r="N41" i="1" l="1"/>
  <c r="O41" i="1"/>
  <c r="F42" i="1"/>
  <c r="G42" i="1" s="1"/>
  <c r="I42" i="1" s="1"/>
  <c r="J42" i="1" s="1"/>
  <c r="L42" i="1" l="1"/>
  <c r="K42" i="1"/>
  <c r="M42" i="1"/>
  <c r="F43" i="1"/>
  <c r="G43" i="1" s="1"/>
  <c r="I43" i="1" s="1"/>
  <c r="J43" i="1" s="1"/>
  <c r="M43" i="1" l="1"/>
  <c r="N42" i="1"/>
  <c r="K43" i="1"/>
  <c r="O42" i="1"/>
  <c r="L43" i="1"/>
  <c r="N43" i="1" l="1"/>
  <c r="O43" i="1"/>
  <c r="F44" i="1"/>
  <c r="G44" i="1" s="1"/>
  <c r="I44" i="1" s="1"/>
  <c r="J44" i="1" s="1"/>
  <c r="M44" i="1" l="1"/>
  <c r="L44" i="1"/>
  <c r="K44" i="1"/>
  <c r="N44" i="1" l="1"/>
  <c r="F45" i="1"/>
  <c r="G45" i="1" s="1"/>
  <c r="I45" i="1" s="1"/>
  <c r="J45" i="1" s="1"/>
  <c r="O44" i="1"/>
  <c r="L45" i="1" l="1"/>
  <c r="M45" i="1"/>
  <c r="K45" i="1"/>
  <c r="N45" i="1" l="1"/>
  <c r="F46" i="1"/>
  <c r="G46" i="1" s="1"/>
  <c r="I46" i="1" s="1"/>
  <c r="J46" i="1" s="1"/>
  <c r="O45" i="1"/>
  <c r="L46" i="1"/>
  <c r="O46" i="1" l="1"/>
  <c r="M46" i="1"/>
  <c r="K46" i="1"/>
  <c r="N46" i="1" l="1"/>
  <c r="F47" i="1"/>
  <c r="G47" i="1" s="1"/>
  <c r="I47" i="1" s="1"/>
  <c r="K47" i="1" s="1"/>
  <c r="N47" i="1" l="1"/>
  <c r="L47" i="1"/>
  <c r="J47" i="1"/>
  <c r="O47" i="1" l="1"/>
  <c r="F48" i="1"/>
  <c r="G48" i="1" s="1"/>
  <c r="I48" i="1" s="1"/>
  <c r="K48" i="1" s="1"/>
  <c r="M47" i="1"/>
  <c r="J48" i="1" l="1"/>
  <c r="N48" i="1"/>
  <c r="L48" i="1"/>
  <c r="O48" i="1" l="1"/>
  <c r="F49" i="1"/>
  <c r="G49" i="1" s="1"/>
  <c r="I49" i="1" s="1"/>
  <c r="K49" i="1" s="1"/>
  <c r="M48" i="1"/>
  <c r="J49" i="1"/>
  <c r="M49" i="1" l="1"/>
  <c r="N49" i="1"/>
  <c r="L49" i="1"/>
  <c r="O49" i="1" l="1"/>
  <c r="F50" i="1"/>
  <c r="G50" i="1" s="1"/>
  <c r="I50" i="1" s="1"/>
  <c r="K50" i="1" l="1"/>
  <c r="J50" i="1"/>
  <c r="L50" i="1"/>
  <c r="O50" i="1" l="1"/>
  <c r="M50" i="1"/>
  <c r="F51" i="1"/>
  <c r="G51" i="1" s="1"/>
  <c r="I51" i="1" s="1"/>
  <c r="J51" i="1" s="1"/>
  <c r="N50" i="1"/>
  <c r="M51" i="1" l="1"/>
  <c r="K51" i="1"/>
  <c r="L51" i="1"/>
  <c r="N51" i="1" l="1"/>
  <c r="O51" i="1"/>
  <c r="F52" i="1"/>
  <c r="G52" i="1" s="1"/>
  <c r="I52" i="1" s="1"/>
  <c r="J52" i="1" s="1"/>
  <c r="M52" i="1" l="1"/>
  <c r="L52" i="1"/>
  <c r="K52" i="1"/>
  <c r="N52" i="1" l="1"/>
  <c r="O52" i="1"/>
  <c r="F53" i="1"/>
  <c r="G53" i="1" s="1"/>
  <c r="I53" i="1" s="1"/>
  <c r="J53" i="1" s="1"/>
  <c r="M53" i="1" l="1"/>
  <c r="L53" i="1"/>
  <c r="K53" i="1"/>
  <c r="N53" i="1" l="1"/>
  <c r="O53" i="1"/>
  <c r="F54" i="1"/>
  <c r="G54" i="1" s="1"/>
  <c r="I54" i="1" s="1"/>
  <c r="J54" i="1" s="1"/>
  <c r="M54" i="1" l="1"/>
  <c r="L54" i="1"/>
  <c r="K54" i="1"/>
  <c r="F55" i="1" s="1"/>
  <c r="G55" i="1" s="1"/>
  <c r="I55" i="1" s="1"/>
  <c r="J55" i="1" s="1"/>
  <c r="M55" i="1" l="1"/>
  <c r="L55" i="1"/>
  <c r="O54" i="1"/>
  <c r="N54" i="1"/>
  <c r="K55" i="1"/>
  <c r="N55" i="1" l="1"/>
  <c r="O55" i="1"/>
  <c r="F56" i="1"/>
  <c r="G56" i="1" s="1"/>
  <c r="I56" i="1" s="1"/>
  <c r="J56" i="1" s="1"/>
  <c r="M56" i="1" l="1"/>
  <c r="L56" i="1"/>
  <c r="K56" i="1"/>
  <c r="N56" i="1" l="1"/>
  <c r="O56" i="1"/>
  <c r="F57" i="1"/>
  <c r="G57" i="1" s="1"/>
  <c r="I57" i="1" s="1"/>
  <c r="J57" i="1" s="1"/>
  <c r="M57" i="1" l="1"/>
  <c r="L57" i="1"/>
  <c r="K57" i="1"/>
  <c r="N57" i="1" l="1"/>
  <c r="O57" i="1"/>
  <c r="F58" i="1"/>
  <c r="G58" i="1" s="1"/>
  <c r="I58" i="1" s="1"/>
  <c r="J58" i="1" s="1"/>
  <c r="M58" i="1" l="1"/>
  <c r="K58" i="1"/>
  <c r="L58" i="1"/>
  <c r="O58" i="1" l="1"/>
  <c r="N58" i="1"/>
  <c r="F59" i="1"/>
  <c r="G59" i="1" s="1"/>
  <c r="I59" i="1" s="1"/>
  <c r="J59" i="1" s="1"/>
  <c r="M59" i="1" l="1"/>
  <c r="K59" i="1"/>
  <c r="L59" i="1"/>
  <c r="N59" i="1" l="1"/>
  <c r="F60" i="1"/>
  <c r="G60" i="1" s="1"/>
  <c r="I60" i="1" s="1"/>
  <c r="J60" i="1" s="1"/>
  <c r="O59" i="1"/>
  <c r="M60" i="1" l="1"/>
  <c r="K60" i="1"/>
  <c r="L60" i="1"/>
  <c r="O60" i="1" l="1"/>
  <c r="N60" i="1"/>
  <c r="F61" i="1"/>
  <c r="G61" i="1" s="1"/>
  <c r="I61" i="1" s="1"/>
  <c r="J61" i="1" s="1"/>
  <c r="M61" i="1" l="1"/>
  <c r="K61" i="1"/>
  <c r="L61" i="1"/>
  <c r="N61" i="1" l="1"/>
  <c r="O61" i="1"/>
  <c r="F62" i="1"/>
  <c r="G62" i="1" s="1"/>
  <c r="I62" i="1" s="1"/>
  <c r="J62" i="1" s="1"/>
  <c r="M62" i="1" l="1"/>
  <c r="L62" i="1"/>
  <c r="K62" i="1"/>
  <c r="F63" i="1" s="1"/>
  <c r="G63" i="1" s="1"/>
  <c r="I63" i="1" s="1"/>
  <c r="J63" i="1" s="1"/>
  <c r="M63" i="1" l="1"/>
  <c r="O62" i="1"/>
  <c r="L63" i="1"/>
  <c r="N62" i="1"/>
  <c r="K63" i="1"/>
  <c r="N63" i="1" l="1"/>
  <c r="O63" i="1"/>
  <c r="F64" i="1"/>
  <c r="G64" i="1" s="1"/>
  <c r="I64" i="1" s="1"/>
  <c r="J64" i="1" s="1"/>
  <c r="L64" i="1" l="1"/>
  <c r="M64" i="1"/>
  <c r="K64" i="1"/>
  <c r="N64" i="1" l="1"/>
  <c r="F65" i="1"/>
  <c r="G65" i="1" s="1"/>
  <c r="I65" i="1" s="1"/>
  <c r="J65" i="1" s="1"/>
  <c r="O64" i="1"/>
  <c r="M65" i="1" l="1"/>
  <c r="L65" i="1"/>
  <c r="K65" i="1"/>
  <c r="N65" i="1" l="1"/>
  <c r="O65" i="1"/>
  <c r="F66" i="1"/>
  <c r="G66" i="1" s="1"/>
  <c r="I66" i="1" s="1"/>
  <c r="J66" i="1" s="1"/>
  <c r="L66" i="1" l="1"/>
  <c r="M66" i="1"/>
  <c r="K66" i="1"/>
  <c r="F67" i="1" s="1"/>
  <c r="G67" i="1" s="1"/>
  <c r="I67" i="1" s="1"/>
  <c r="J67" i="1" s="1"/>
  <c r="M67" i="1" l="1"/>
  <c r="N66" i="1"/>
  <c r="K67" i="1"/>
  <c r="O66" i="1"/>
  <c r="L67" i="1"/>
  <c r="O67" i="1" l="1"/>
  <c r="N67" i="1"/>
  <c r="F68" i="1"/>
  <c r="G68" i="1" s="1"/>
  <c r="I68" i="1" s="1"/>
  <c r="J68" i="1" s="1"/>
  <c r="K68" i="1" l="1"/>
  <c r="M68" i="1"/>
  <c r="L68" i="1"/>
  <c r="O68" i="1" l="1"/>
  <c r="F69" i="1"/>
  <c r="G69" i="1" s="1"/>
  <c r="I69" i="1" s="1"/>
  <c r="J69" i="1" s="1"/>
  <c r="N68" i="1"/>
  <c r="M69" i="1" l="1"/>
  <c r="K69" i="1"/>
  <c r="F70" i="1" s="1"/>
  <c r="G70" i="1" s="1"/>
  <c r="I70" i="1" s="1"/>
  <c r="J70" i="1" s="1"/>
  <c r="L69" i="1"/>
  <c r="M70" i="1" l="1"/>
  <c r="O69" i="1"/>
  <c r="L70" i="1"/>
  <c r="K70" i="1"/>
  <c r="N69" i="1"/>
  <c r="N70" i="1" l="1"/>
  <c r="O70" i="1"/>
  <c r="F71" i="1"/>
  <c r="G71" i="1" s="1"/>
  <c r="I71" i="1" s="1"/>
  <c r="J71" i="1" s="1"/>
  <c r="M71" i="1" l="1"/>
  <c r="L71" i="1"/>
  <c r="K71" i="1"/>
  <c r="N71" i="1" l="1"/>
  <c r="O71" i="1"/>
  <c r="F72" i="1"/>
  <c r="G72" i="1" s="1"/>
  <c r="I72" i="1" s="1"/>
  <c r="J72" i="1" s="1"/>
  <c r="F73" i="1" l="1"/>
  <c r="G73" i="1" s="1"/>
  <c r="I73" i="1" s="1"/>
  <c r="J73" i="1" s="1"/>
  <c r="M72" i="1"/>
  <c r="K72" i="1"/>
  <c r="L72" i="1"/>
  <c r="M73" i="1" l="1"/>
  <c r="O72" i="1"/>
  <c r="L73" i="1"/>
  <c r="N72" i="1"/>
  <c r="K73" i="1"/>
  <c r="N73" i="1" l="1"/>
  <c r="O73" i="1"/>
  <c r="F74" i="1"/>
  <c r="G74" i="1" s="1"/>
  <c r="I74" i="1" s="1"/>
  <c r="J74" i="1" s="1"/>
  <c r="M74" i="1" l="1"/>
  <c r="F81" i="1"/>
  <c r="G81" i="1" s="1"/>
  <c r="F77" i="1"/>
  <c r="G77" i="1" s="1"/>
  <c r="F80" i="1"/>
  <c r="G80" i="1" s="1"/>
  <c r="F76" i="1"/>
  <c r="G76" i="1" s="1"/>
  <c r="F79" i="1"/>
  <c r="G79" i="1" s="1"/>
  <c r="L74" i="1"/>
  <c r="O74" i="1" s="1"/>
  <c r="K74" i="1"/>
  <c r="N74" i="1" s="1"/>
  <c r="F78" i="1" l="1"/>
  <c r="G78" i="1" s="1"/>
  <c r="F75" i="1"/>
  <c r="G75" i="1" s="1"/>
  <c r="F82" i="1"/>
  <c r="G82" i="1" s="1"/>
</calcChain>
</file>

<file path=xl/sharedStrings.xml><?xml version="1.0" encoding="utf-8"?>
<sst xmlns="http://schemas.openxmlformats.org/spreadsheetml/2006/main" count="65" uniqueCount="30">
  <si>
    <t>Train</t>
  </si>
  <si>
    <t>Test</t>
  </si>
  <si>
    <t>Nilai Tugas(x1)</t>
  </si>
  <si>
    <t>Nilai UTS(x2)</t>
  </si>
  <si>
    <t>Nilai Ujian(x3)</t>
  </si>
  <si>
    <t>Status</t>
  </si>
  <si>
    <t>X1</t>
  </si>
  <si>
    <t>X2</t>
  </si>
  <si>
    <t>X3</t>
  </si>
  <si>
    <t>Y</t>
  </si>
  <si>
    <t xml:space="preserve">Tidak lulus </t>
  </si>
  <si>
    <t>Lulus</t>
  </si>
  <si>
    <t>?</t>
  </si>
  <si>
    <t>bobot awal (W1)</t>
  </si>
  <si>
    <t>bobot awal (W2)</t>
  </si>
  <si>
    <t>bobot awal (W3)</t>
  </si>
  <si>
    <r>
      <t>learning rate (</t>
    </r>
    <r>
      <rPr>
        <sz val="11"/>
        <color theme="1"/>
        <rFont val="Calibri"/>
        <family val="2"/>
      </rPr>
      <t>Ƞ</t>
    </r>
    <r>
      <rPr>
        <sz val="11"/>
        <color theme="1"/>
        <rFont val="Calibri"/>
        <family val="2"/>
        <scheme val="minor"/>
      </rPr>
      <t>)</t>
    </r>
  </si>
  <si>
    <t>threshold</t>
  </si>
  <si>
    <t>Iterasi</t>
  </si>
  <si>
    <t>V</t>
  </si>
  <si>
    <t>Output Y'</t>
  </si>
  <si>
    <t>Error</t>
  </si>
  <si>
    <t>W1 baru</t>
  </si>
  <si>
    <t>W2 baru</t>
  </si>
  <si>
    <t>W3 baru</t>
  </si>
  <si>
    <t>DeltaW1</t>
  </si>
  <si>
    <t>DeltaW2</t>
  </si>
  <si>
    <t>DeltaW3</t>
  </si>
  <si>
    <t>Prediksi</t>
  </si>
  <si>
    <t>Akurasi 75%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</si>
</sst>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171450</xdr:colOff>
      <xdr:row>22</xdr:row>
      <xdr:rowOff>177613</xdr:rowOff>
    </xdr:from>
    <xdr:to>
      <xdr:col>8</xdr:col>
      <xdr:colOff>183007</xdr:colOff>
      <xdr:row>25</xdr:row>
      <xdr:rowOff>44324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61BA499-5603-4D04-A571-24CEA28A0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0" y="4368613"/>
          <a:ext cx="2497582" cy="438211"/>
        </a:xfrm>
        <a:prstGeom prst="rect">
          <a:avLst/>
        </a:prstGeom>
      </xdr:spPr>
    </xdr:pic>
    <xdr:clientData/>
  </xdr:twoCellAnchor>
  <xdr:twoCellAnchor editAs="oneCell">
    <xdr:from>
      <xdr:col>5</xdr:col>
      <xdr:colOff>171450</xdr:colOff>
      <xdr:row>22</xdr:row>
      <xdr:rowOff>177613</xdr:rowOff>
    </xdr:from>
    <xdr:to>
      <xdr:col>8</xdr:col>
      <xdr:colOff>183007</xdr:colOff>
      <xdr:row>25</xdr:row>
      <xdr:rowOff>44324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BBEDED-BA3A-48D7-87E2-40AE29E00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0" y="4368613"/>
          <a:ext cx="2497582" cy="4382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EC975-C064-4BD1-AE30-4945635438A2}">
  <dimension ref="A1:P82"/>
  <sheetViews>
    <sheetView tabSelected="1" topLeftCell="A49" zoomScaleNormal="100" workbookViewId="0">
      <selection activeCell="H84" sqref="H84"/>
    </sheetView>
  </sheetViews>
  <sheetFormatPr defaultRowHeight="15" x14ac:dyDescent="0.25"/>
  <cols>
    <col min="2" max="2" width="16" customWidth="1"/>
    <col min="3" max="4" width="13.85546875" customWidth="1"/>
    <col min="5" max="5" width="14.28515625" customWidth="1"/>
    <col min="6" max="6" width="18.140625" customWidth="1"/>
    <col min="7" max="7" width="9.28515625" customWidth="1"/>
    <col min="8" max="8" width="9.85546875" customWidth="1"/>
    <col min="9" max="9" width="10" customWidth="1"/>
    <col min="10" max="10" width="10.28515625" customWidth="1"/>
    <col min="11" max="11" width="10.85546875" customWidth="1"/>
    <col min="12" max="12" width="11.42578125" customWidth="1"/>
    <col min="13" max="13" width="14.85546875" customWidth="1"/>
    <col min="14" max="14" width="13.85546875" customWidth="1"/>
    <col min="15" max="15" width="15.140625" customWidth="1"/>
    <col min="16" max="16" width="11.85546875" customWidth="1"/>
  </cols>
  <sheetData>
    <row r="1" spans="2:16" x14ac:dyDescent="0.25">
      <c r="B1" s="7" t="s">
        <v>0</v>
      </c>
      <c r="C1" s="7"/>
      <c r="D1" s="7"/>
      <c r="E1" s="7"/>
      <c r="F1" s="8"/>
      <c r="H1" s="23" t="s">
        <v>0</v>
      </c>
      <c r="I1" s="23"/>
      <c r="J1" s="23"/>
      <c r="K1" s="23"/>
      <c r="M1" s="24" t="s">
        <v>1</v>
      </c>
      <c r="N1" s="25"/>
      <c r="O1" s="25"/>
      <c r="P1" s="26"/>
    </row>
    <row r="2" spans="2:16" x14ac:dyDescent="0.25">
      <c r="B2" s="1" t="s">
        <v>2</v>
      </c>
      <c r="C2" s="1" t="s">
        <v>3</v>
      </c>
      <c r="D2" s="1" t="s">
        <v>4</v>
      </c>
      <c r="E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M2" s="1" t="s">
        <v>2</v>
      </c>
      <c r="N2" s="1" t="s">
        <v>3</v>
      </c>
      <c r="O2" s="1" t="s">
        <v>4</v>
      </c>
      <c r="P2" s="1" t="s">
        <v>5</v>
      </c>
    </row>
    <row r="3" spans="2:16" x14ac:dyDescent="0.25">
      <c r="B3" s="2">
        <v>50</v>
      </c>
      <c r="C3" s="2">
        <v>50</v>
      </c>
      <c r="D3" s="2">
        <v>50</v>
      </c>
      <c r="E3" s="2" t="s">
        <v>10</v>
      </c>
      <c r="H3" s="2">
        <v>50</v>
      </c>
      <c r="I3" s="2">
        <v>50</v>
      </c>
      <c r="J3" s="2">
        <v>50</v>
      </c>
      <c r="K3" s="2">
        <v>0</v>
      </c>
      <c r="M3" s="2">
        <v>70</v>
      </c>
      <c r="N3" s="2">
        <v>74</v>
      </c>
      <c r="O3" s="2">
        <v>80</v>
      </c>
      <c r="P3" s="2" t="s">
        <v>10</v>
      </c>
    </row>
    <row r="4" spans="2:16" x14ac:dyDescent="0.25">
      <c r="B4" s="2">
        <v>60</v>
      </c>
      <c r="C4" s="2">
        <v>40</v>
      </c>
      <c r="D4" s="2">
        <v>30</v>
      </c>
      <c r="E4" s="2" t="s">
        <v>10</v>
      </c>
      <c r="H4" s="2">
        <v>60</v>
      </c>
      <c r="I4" s="2">
        <v>40</v>
      </c>
      <c r="J4" s="2">
        <v>30</v>
      </c>
      <c r="K4" s="2">
        <v>0</v>
      </c>
      <c r="M4" s="2">
        <v>60</v>
      </c>
      <c r="N4" s="2">
        <v>69</v>
      </c>
      <c r="O4" s="2">
        <v>90</v>
      </c>
      <c r="P4" s="2" t="s">
        <v>10</v>
      </c>
    </row>
    <row r="5" spans="2:16" x14ac:dyDescent="0.25">
      <c r="B5" s="2">
        <v>40</v>
      </c>
      <c r="C5" s="2">
        <v>30</v>
      </c>
      <c r="D5" s="2">
        <v>70</v>
      </c>
      <c r="E5" s="2" t="s">
        <v>10</v>
      </c>
      <c r="H5" s="2">
        <v>40</v>
      </c>
      <c r="I5" s="2">
        <v>30</v>
      </c>
      <c r="J5" s="2">
        <v>70</v>
      </c>
      <c r="K5" s="2">
        <v>0</v>
      </c>
      <c r="M5" s="2">
        <v>75</v>
      </c>
      <c r="N5" s="2">
        <v>80</v>
      </c>
      <c r="O5" s="2">
        <v>90</v>
      </c>
      <c r="P5" s="2" t="s">
        <v>11</v>
      </c>
    </row>
    <row r="6" spans="2:16" x14ac:dyDescent="0.25">
      <c r="B6" s="2">
        <v>70</v>
      </c>
      <c r="C6" s="2">
        <v>43</v>
      </c>
      <c r="D6" s="2">
        <v>90</v>
      </c>
      <c r="E6" s="2" t="s">
        <v>10</v>
      </c>
      <c r="H6" s="2">
        <v>70</v>
      </c>
      <c r="I6" s="2">
        <v>43</v>
      </c>
      <c r="J6" s="2">
        <v>90</v>
      </c>
      <c r="K6" s="2">
        <v>0</v>
      </c>
      <c r="M6" s="2">
        <v>83</v>
      </c>
      <c r="N6" s="2">
        <v>79</v>
      </c>
      <c r="O6" s="2">
        <v>88</v>
      </c>
      <c r="P6" s="2" t="s">
        <v>11</v>
      </c>
    </row>
    <row r="7" spans="2:16" x14ac:dyDescent="0.25">
      <c r="B7" s="2">
        <v>65</v>
      </c>
      <c r="C7" s="2">
        <v>33</v>
      </c>
      <c r="D7" s="2">
        <v>80</v>
      </c>
      <c r="E7" s="2" t="s">
        <v>10</v>
      </c>
      <c r="H7" s="2">
        <v>65</v>
      </c>
      <c r="I7" s="2">
        <v>33</v>
      </c>
      <c r="J7" s="2">
        <v>80</v>
      </c>
      <c r="K7" s="2">
        <v>0</v>
      </c>
    </row>
    <row r="8" spans="2:16" x14ac:dyDescent="0.25">
      <c r="B8" s="2">
        <v>66</v>
      </c>
      <c r="C8" s="2">
        <v>48</v>
      </c>
      <c r="D8" s="2">
        <v>40</v>
      </c>
      <c r="E8" s="2" t="s">
        <v>10</v>
      </c>
      <c r="H8" s="2">
        <v>66</v>
      </c>
      <c r="I8" s="2">
        <v>48</v>
      </c>
      <c r="J8" s="2">
        <v>40</v>
      </c>
      <c r="K8" s="2">
        <v>0</v>
      </c>
    </row>
    <row r="9" spans="2:16" x14ac:dyDescent="0.25">
      <c r="B9" s="2">
        <v>87</v>
      </c>
      <c r="C9" s="2">
        <v>66</v>
      </c>
      <c r="D9" s="2">
        <v>60</v>
      </c>
      <c r="E9" s="2" t="s">
        <v>10</v>
      </c>
      <c r="H9" s="2">
        <v>87</v>
      </c>
      <c r="I9" s="2">
        <v>66</v>
      </c>
      <c r="J9" s="2">
        <v>60</v>
      </c>
      <c r="K9" s="2">
        <v>0</v>
      </c>
      <c r="M9" s="27" t="s">
        <v>1</v>
      </c>
      <c r="N9" s="27"/>
      <c r="O9" s="27"/>
      <c r="P9" s="27"/>
    </row>
    <row r="10" spans="2:16" x14ac:dyDescent="0.25">
      <c r="B10" s="2">
        <v>35</v>
      </c>
      <c r="C10" s="2">
        <v>78</v>
      </c>
      <c r="D10" s="2">
        <v>75</v>
      </c>
      <c r="E10" s="2" t="s">
        <v>10</v>
      </c>
      <c r="H10" s="2">
        <v>35</v>
      </c>
      <c r="I10" s="2">
        <v>78</v>
      </c>
      <c r="J10" s="2">
        <v>75</v>
      </c>
      <c r="K10" s="2">
        <v>0</v>
      </c>
      <c r="M10" s="1" t="s">
        <v>6</v>
      </c>
      <c r="N10" s="1" t="s">
        <v>7</v>
      </c>
      <c r="O10" s="1" t="s">
        <v>8</v>
      </c>
      <c r="P10" s="1" t="s">
        <v>9</v>
      </c>
    </row>
    <row r="11" spans="2:16" x14ac:dyDescent="0.25">
      <c r="B11" s="2">
        <v>55</v>
      </c>
      <c r="C11" s="2">
        <v>81</v>
      </c>
      <c r="D11" s="2">
        <v>83</v>
      </c>
      <c r="E11" s="2" t="s">
        <v>10</v>
      </c>
      <c r="H11" s="2">
        <v>55</v>
      </c>
      <c r="I11" s="2">
        <v>81</v>
      </c>
      <c r="J11" s="2">
        <v>83</v>
      </c>
      <c r="K11" s="2">
        <v>0</v>
      </c>
      <c r="M11" s="2">
        <v>70</v>
      </c>
      <c r="N11" s="2">
        <v>74</v>
      </c>
      <c r="O11" s="2">
        <v>80</v>
      </c>
      <c r="P11" s="2">
        <v>0</v>
      </c>
    </row>
    <row r="12" spans="2:16" x14ac:dyDescent="0.25">
      <c r="B12" s="2">
        <v>80</v>
      </c>
      <c r="C12" s="2">
        <v>75</v>
      </c>
      <c r="D12" s="2">
        <v>77</v>
      </c>
      <c r="E12" s="3" t="s">
        <v>11</v>
      </c>
      <c r="H12" s="2">
        <v>80</v>
      </c>
      <c r="I12" s="2">
        <v>75</v>
      </c>
      <c r="J12" s="2">
        <v>77</v>
      </c>
      <c r="K12" s="3">
        <v>1</v>
      </c>
      <c r="M12" s="2">
        <v>60</v>
      </c>
      <c r="N12" s="2">
        <v>69</v>
      </c>
      <c r="O12" s="2">
        <v>90</v>
      </c>
      <c r="P12" s="2">
        <v>0</v>
      </c>
    </row>
    <row r="13" spans="2:16" x14ac:dyDescent="0.25">
      <c r="B13" s="2">
        <v>86</v>
      </c>
      <c r="C13" s="2">
        <v>90</v>
      </c>
      <c r="D13" s="2">
        <v>77</v>
      </c>
      <c r="E13" s="3" t="s">
        <v>11</v>
      </c>
      <c r="H13" s="2">
        <v>86</v>
      </c>
      <c r="I13" s="2">
        <v>90</v>
      </c>
      <c r="J13" s="2">
        <v>77</v>
      </c>
      <c r="K13" s="3">
        <v>1</v>
      </c>
      <c r="M13" s="2">
        <v>75</v>
      </c>
      <c r="N13" s="2">
        <v>80</v>
      </c>
      <c r="O13" s="2">
        <v>90</v>
      </c>
      <c r="P13" s="2">
        <v>1</v>
      </c>
    </row>
    <row r="14" spans="2:16" x14ac:dyDescent="0.25">
      <c r="B14" s="2">
        <v>87</v>
      </c>
      <c r="C14" s="2">
        <v>78</v>
      </c>
      <c r="D14" s="2">
        <v>91</v>
      </c>
      <c r="E14" s="3" t="s">
        <v>11</v>
      </c>
      <c r="H14" s="2">
        <v>87</v>
      </c>
      <c r="I14" s="2">
        <v>78</v>
      </c>
      <c r="J14" s="2">
        <v>91</v>
      </c>
      <c r="K14" s="3">
        <v>1</v>
      </c>
      <c r="M14" s="2">
        <v>83</v>
      </c>
      <c r="N14" s="2">
        <v>79</v>
      </c>
      <c r="O14" s="2">
        <v>88</v>
      </c>
      <c r="P14" s="2">
        <v>1</v>
      </c>
    </row>
    <row r="15" spans="2:16" x14ac:dyDescent="0.25">
      <c r="B15" s="2">
        <v>77</v>
      </c>
      <c r="C15" s="2">
        <v>71</v>
      </c>
      <c r="D15" s="2">
        <v>77</v>
      </c>
      <c r="E15" s="3" t="s">
        <v>11</v>
      </c>
      <c r="H15" s="2">
        <v>77</v>
      </c>
      <c r="I15" s="2">
        <v>71</v>
      </c>
      <c r="J15" s="2">
        <v>77</v>
      </c>
      <c r="K15" s="3">
        <v>1</v>
      </c>
    </row>
    <row r="16" spans="2:16" x14ac:dyDescent="0.25">
      <c r="B16" s="2">
        <v>82</v>
      </c>
      <c r="C16" s="2">
        <v>76</v>
      </c>
      <c r="D16" s="2">
        <v>99</v>
      </c>
      <c r="E16" s="3" t="s">
        <v>11</v>
      </c>
      <c r="H16" s="2">
        <v>82</v>
      </c>
      <c r="I16" s="2">
        <v>76</v>
      </c>
      <c r="J16" s="2">
        <v>99</v>
      </c>
      <c r="K16" s="3">
        <v>1</v>
      </c>
    </row>
    <row r="17" spans="1:15" x14ac:dyDescent="0.25">
      <c r="B17" s="2">
        <v>74</v>
      </c>
      <c r="C17" s="2">
        <v>88</v>
      </c>
      <c r="D17" s="2">
        <v>78</v>
      </c>
      <c r="E17" s="3" t="s">
        <v>11</v>
      </c>
      <c r="H17" s="2">
        <v>74</v>
      </c>
      <c r="I17" s="2">
        <v>88</v>
      </c>
      <c r="J17" s="2">
        <v>78</v>
      </c>
      <c r="K17" s="3">
        <v>1</v>
      </c>
    </row>
    <row r="18" spans="1:15" x14ac:dyDescent="0.25">
      <c r="A18" s="19" t="s">
        <v>28</v>
      </c>
      <c r="B18" s="4">
        <v>74</v>
      </c>
      <c r="C18" s="4">
        <v>74</v>
      </c>
      <c r="D18" s="4">
        <v>74</v>
      </c>
      <c r="E18" s="5" t="s">
        <v>12</v>
      </c>
    </row>
    <row r="19" spans="1:15" x14ac:dyDescent="0.25">
      <c r="A19" s="20"/>
      <c r="B19" s="4">
        <v>74</v>
      </c>
      <c r="C19" s="4">
        <v>75</v>
      </c>
      <c r="D19" s="4">
        <v>76</v>
      </c>
      <c r="E19" s="5" t="s">
        <v>12</v>
      </c>
    </row>
    <row r="20" spans="1:15" x14ac:dyDescent="0.25">
      <c r="A20" s="20"/>
      <c r="B20" s="4">
        <v>74</v>
      </c>
      <c r="C20" s="4">
        <v>75</v>
      </c>
      <c r="D20" s="4">
        <v>75</v>
      </c>
      <c r="E20" s="5" t="s">
        <v>12</v>
      </c>
    </row>
    <row r="21" spans="1:15" x14ac:dyDescent="0.25">
      <c r="A21" s="21"/>
      <c r="B21" s="4">
        <v>75</v>
      </c>
      <c r="C21" s="4">
        <v>75</v>
      </c>
      <c r="D21" s="4">
        <v>75</v>
      </c>
      <c r="E21" s="5" t="s">
        <v>12</v>
      </c>
    </row>
    <row r="23" spans="1:15" x14ac:dyDescent="0.25">
      <c r="B23" s="6" t="s">
        <v>13</v>
      </c>
      <c r="C23" s="6">
        <v>0.2</v>
      </c>
      <c r="D23" s="6"/>
    </row>
    <row r="24" spans="1:15" x14ac:dyDescent="0.25">
      <c r="B24" s="6" t="s">
        <v>14</v>
      </c>
      <c r="C24" s="6">
        <v>0.2</v>
      </c>
      <c r="D24" s="6"/>
    </row>
    <row r="25" spans="1:15" x14ac:dyDescent="0.25">
      <c r="B25" s="6" t="s">
        <v>15</v>
      </c>
      <c r="C25" s="6">
        <v>0.2</v>
      </c>
      <c r="D25" s="6"/>
    </row>
    <row r="26" spans="1:15" x14ac:dyDescent="0.25">
      <c r="B26" s="6" t="s">
        <v>16</v>
      </c>
      <c r="C26" s="6">
        <v>5.0000000000000001E-3</v>
      </c>
      <c r="D26" s="6"/>
    </row>
    <row r="27" spans="1:15" x14ac:dyDescent="0.25">
      <c r="B27" s="6" t="s">
        <v>17</v>
      </c>
      <c r="C27" s="6">
        <v>75</v>
      </c>
      <c r="D27" s="6"/>
    </row>
    <row r="29" spans="1:15" x14ac:dyDescent="0.25">
      <c r="B29" s="1" t="s">
        <v>18</v>
      </c>
      <c r="C29" s="1" t="s">
        <v>6</v>
      </c>
      <c r="D29" s="1" t="s">
        <v>7</v>
      </c>
      <c r="E29" s="1" t="s">
        <v>8</v>
      </c>
      <c r="F29" s="1" t="s">
        <v>19</v>
      </c>
      <c r="G29" s="1" t="s">
        <v>20</v>
      </c>
      <c r="H29" s="1" t="s">
        <v>9</v>
      </c>
      <c r="I29" s="1" t="s">
        <v>21</v>
      </c>
      <c r="J29" s="1" t="s">
        <v>22</v>
      </c>
      <c r="K29" s="1" t="s">
        <v>23</v>
      </c>
      <c r="L29" s="1" t="s">
        <v>24</v>
      </c>
      <c r="M29" s="1" t="s">
        <v>25</v>
      </c>
      <c r="N29" s="1" t="s">
        <v>26</v>
      </c>
      <c r="O29" s="1" t="s">
        <v>27</v>
      </c>
    </row>
    <row r="30" spans="1:15" x14ac:dyDescent="0.25">
      <c r="B30" s="16">
        <v>1</v>
      </c>
      <c r="C30" s="2">
        <v>50</v>
      </c>
      <c r="D30" s="2">
        <v>50</v>
      </c>
      <c r="E30" s="2">
        <v>50</v>
      </c>
      <c r="F30" s="2">
        <f>C30*C23+D30*C24+E30*C25</f>
        <v>30</v>
      </c>
      <c r="G30" s="2">
        <f>IF(F30&lt;C27,0,1)</f>
        <v>0</v>
      </c>
      <c r="H30" s="2">
        <v>0</v>
      </c>
      <c r="I30" s="2">
        <f>H30-G30</f>
        <v>0</v>
      </c>
      <c r="J30" s="2">
        <f>C23+C26*I30*C30</f>
        <v>0.2</v>
      </c>
      <c r="K30" s="2">
        <f>C24+C26*I30*D30</f>
        <v>0.2</v>
      </c>
      <c r="L30" s="3">
        <f>C25+C26*I30*E30</f>
        <v>0.2</v>
      </c>
      <c r="M30" s="3">
        <f>J30-C23</f>
        <v>0</v>
      </c>
      <c r="N30" s="3">
        <f>K30-C24</f>
        <v>0</v>
      </c>
      <c r="O30" s="3">
        <f>L30-C25</f>
        <v>0</v>
      </c>
    </row>
    <row r="31" spans="1:15" x14ac:dyDescent="0.25">
      <c r="B31" s="17"/>
      <c r="C31" s="2">
        <v>60</v>
      </c>
      <c r="D31" s="2">
        <v>40</v>
      </c>
      <c r="E31" s="2">
        <v>30</v>
      </c>
      <c r="F31" s="2">
        <f t="shared" ref="F31:F74" si="0">C31*J30+D31*K30+E31*L30</f>
        <v>26</v>
      </c>
      <c r="G31" s="2">
        <f>IF(F31&lt;$C$27,0,1)</f>
        <v>0</v>
      </c>
      <c r="H31" s="2">
        <v>0</v>
      </c>
      <c r="I31" s="2">
        <f>H31-G31</f>
        <v>0</v>
      </c>
      <c r="J31" s="2">
        <f t="shared" ref="J31:J74" si="1">J30+$C$26*I31*C31</f>
        <v>0.2</v>
      </c>
      <c r="K31" s="2">
        <f t="shared" ref="K31:K74" si="2">K30+$C$26*I31*D31</f>
        <v>0.2</v>
      </c>
      <c r="L31" s="3">
        <f>L30+$C$26*I31*E31</f>
        <v>0.2</v>
      </c>
      <c r="M31" s="3">
        <f>J31-J30</f>
        <v>0</v>
      </c>
      <c r="N31" s="3">
        <f>K31-K30</f>
        <v>0</v>
      </c>
      <c r="O31" s="3">
        <f>L31-L30</f>
        <v>0</v>
      </c>
    </row>
    <row r="32" spans="1:15" x14ac:dyDescent="0.25">
      <c r="B32" s="17"/>
      <c r="C32" s="2">
        <v>40</v>
      </c>
      <c r="D32" s="2">
        <v>30</v>
      </c>
      <c r="E32" s="2">
        <v>70</v>
      </c>
      <c r="F32" s="2">
        <f t="shared" si="0"/>
        <v>28</v>
      </c>
      <c r="G32" s="2">
        <f t="shared" ref="G32:G82" si="3">IF(F32&lt;$C$27,0,1)</f>
        <v>0</v>
      </c>
      <c r="H32" s="2">
        <v>0</v>
      </c>
      <c r="I32" s="2">
        <f t="shared" ref="I32:I74" si="4">H32-G32</f>
        <v>0</v>
      </c>
      <c r="J32" s="2">
        <f t="shared" si="1"/>
        <v>0.2</v>
      </c>
      <c r="K32" s="2">
        <f t="shared" si="2"/>
        <v>0.2</v>
      </c>
      <c r="L32" s="3">
        <f t="shared" ref="L32:L74" si="5">L31+$C$26*I32*E32</f>
        <v>0.2</v>
      </c>
      <c r="M32" s="3">
        <f t="shared" ref="M32:O74" si="6">J32-J31</f>
        <v>0</v>
      </c>
      <c r="N32" s="3">
        <f t="shared" si="6"/>
        <v>0</v>
      </c>
      <c r="O32" s="3">
        <f t="shared" si="6"/>
        <v>0</v>
      </c>
    </row>
    <row r="33" spans="2:15" x14ac:dyDescent="0.25">
      <c r="B33" s="17"/>
      <c r="C33" s="2">
        <v>70</v>
      </c>
      <c r="D33" s="2">
        <v>43</v>
      </c>
      <c r="E33" s="2">
        <v>90</v>
      </c>
      <c r="F33" s="2">
        <f t="shared" si="0"/>
        <v>40.6</v>
      </c>
      <c r="G33" s="2">
        <f t="shared" si="3"/>
        <v>0</v>
      </c>
      <c r="H33" s="2">
        <v>0</v>
      </c>
      <c r="I33" s="2">
        <f t="shared" si="4"/>
        <v>0</v>
      </c>
      <c r="J33" s="2">
        <f t="shared" si="1"/>
        <v>0.2</v>
      </c>
      <c r="K33" s="2">
        <f t="shared" si="2"/>
        <v>0.2</v>
      </c>
      <c r="L33" s="3">
        <f t="shared" si="5"/>
        <v>0.2</v>
      </c>
      <c r="M33" s="3">
        <f t="shared" si="6"/>
        <v>0</v>
      </c>
      <c r="N33" s="3">
        <f t="shared" si="6"/>
        <v>0</v>
      </c>
      <c r="O33" s="3">
        <f t="shared" si="6"/>
        <v>0</v>
      </c>
    </row>
    <row r="34" spans="2:15" x14ac:dyDescent="0.25">
      <c r="B34" s="17"/>
      <c r="C34" s="2">
        <v>65</v>
      </c>
      <c r="D34" s="2">
        <v>33</v>
      </c>
      <c r="E34" s="2">
        <v>80</v>
      </c>
      <c r="F34" s="2">
        <f t="shared" si="0"/>
        <v>35.6</v>
      </c>
      <c r="G34" s="2">
        <f t="shared" si="3"/>
        <v>0</v>
      </c>
      <c r="H34" s="2">
        <v>0</v>
      </c>
      <c r="I34" s="2">
        <f t="shared" si="4"/>
        <v>0</v>
      </c>
      <c r="J34" s="2">
        <f t="shared" si="1"/>
        <v>0.2</v>
      </c>
      <c r="K34" s="2">
        <f t="shared" si="2"/>
        <v>0.2</v>
      </c>
      <c r="L34" s="3">
        <f t="shared" si="5"/>
        <v>0.2</v>
      </c>
      <c r="M34" s="3">
        <f t="shared" si="6"/>
        <v>0</v>
      </c>
      <c r="N34" s="3">
        <f t="shared" si="6"/>
        <v>0</v>
      </c>
      <c r="O34" s="3">
        <f t="shared" si="6"/>
        <v>0</v>
      </c>
    </row>
    <row r="35" spans="2:15" x14ac:dyDescent="0.25">
      <c r="B35" s="17"/>
      <c r="C35" s="2">
        <v>66</v>
      </c>
      <c r="D35" s="2">
        <v>48</v>
      </c>
      <c r="E35" s="2">
        <v>40</v>
      </c>
      <c r="F35" s="2">
        <f t="shared" si="0"/>
        <v>30.800000000000004</v>
      </c>
      <c r="G35" s="2">
        <f t="shared" si="3"/>
        <v>0</v>
      </c>
      <c r="H35" s="2">
        <v>0</v>
      </c>
      <c r="I35" s="2">
        <f t="shared" si="4"/>
        <v>0</v>
      </c>
      <c r="J35" s="2">
        <f t="shared" si="1"/>
        <v>0.2</v>
      </c>
      <c r="K35" s="2">
        <f t="shared" si="2"/>
        <v>0.2</v>
      </c>
      <c r="L35" s="3">
        <f t="shared" si="5"/>
        <v>0.2</v>
      </c>
      <c r="M35" s="3">
        <f t="shared" si="6"/>
        <v>0</v>
      </c>
      <c r="N35" s="3">
        <f t="shared" si="6"/>
        <v>0</v>
      </c>
      <c r="O35" s="3">
        <f t="shared" si="6"/>
        <v>0</v>
      </c>
    </row>
    <row r="36" spans="2:15" x14ac:dyDescent="0.25">
      <c r="B36" s="17"/>
      <c r="C36" s="2">
        <v>87</v>
      </c>
      <c r="D36" s="2">
        <v>66</v>
      </c>
      <c r="E36" s="2">
        <v>60</v>
      </c>
      <c r="F36" s="2">
        <f t="shared" si="0"/>
        <v>42.6</v>
      </c>
      <c r="G36" s="2">
        <f t="shared" si="3"/>
        <v>0</v>
      </c>
      <c r="H36" s="2">
        <v>0</v>
      </c>
      <c r="I36" s="2">
        <f t="shared" si="4"/>
        <v>0</v>
      </c>
      <c r="J36" s="2">
        <f t="shared" si="1"/>
        <v>0.2</v>
      </c>
      <c r="K36" s="2">
        <f t="shared" si="2"/>
        <v>0.2</v>
      </c>
      <c r="L36" s="3">
        <f t="shared" si="5"/>
        <v>0.2</v>
      </c>
      <c r="M36" s="3">
        <f t="shared" si="6"/>
        <v>0</v>
      </c>
      <c r="N36" s="3">
        <f t="shared" si="6"/>
        <v>0</v>
      </c>
      <c r="O36" s="3">
        <f t="shared" si="6"/>
        <v>0</v>
      </c>
    </row>
    <row r="37" spans="2:15" x14ac:dyDescent="0.25">
      <c r="B37" s="17"/>
      <c r="C37" s="2">
        <v>35</v>
      </c>
      <c r="D37" s="2">
        <v>78</v>
      </c>
      <c r="E37" s="2">
        <v>75</v>
      </c>
      <c r="F37" s="2">
        <f t="shared" si="0"/>
        <v>37.6</v>
      </c>
      <c r="G37" s="2">
        <f t="shared" si="3"/>
        <v>0</v>
      </c>
      <c r="H37" s="2">
        <v>0</v>
      </c>
      <c r="I37" s="2">
        <f t="shared" si="4"/>
        <v>0</v>
      </c>
      <c r="J37" s="2">
        <f t="shared" si="1"/>
        <v>0.2</v>
      </c>
      <c r="K37" s="2">
        <f t="shared" si="2"/>
        <v>0.2</v>
      </c>
      <c r="L37" s="3">
        <f t="shared" si="5"/>
        <v>0.2</v>
      </c>
      <c r="M37" s="3">
        <f t="shared" si="6"/>
        <v>0</v>
      </c>
      <c r="N37" s="3">
        <f t="shared" si="6"/>
        <v>0</v>
      </c>
      <c r="O37" s="3">
        <f t="shared" si="6"/>
        <v>0</v>
      </c>
    </row>
    <row r="38" spans="2:15" x14ac:dyDescent="0.25">
      <c r="B38" s="17"/>
      <c r="C38" s="2">
        <v>55</v>
      </c>
      <c r="D38" s="2">
        <v>81</v>
      </c>
      <c r="E38" s="2">
        <v>83</v>
      </c>
      <c r="F38" s="2">
        <f t="shared" si="0"/>
        <v>43.8</v>
      </c>
      <c r="G38" s="2">
        <f t="shared" si="3"/>
        <v>0</v>
      </c>
      <c r="H38" s="2">
        <v>0</v>
      </c>
      <c r="I38" s="2">
        <f t="shared" si="4"/>
        <v>0</v>
      </c>
      <c r="J38" s="2">
        <f t="shared" si="1"/>
        <v>0.2</v>
      </c>
      <c r="K38" s="2">
        <f t="shared" si="2"/>
        <v>0.2</v>
      </c>
      <c r="L38" s="3">
        <f t="shared" si="5"/>
        <v>0.2</v>
      </c>
      <c r="M38" s="3">
        <f t="shared" si="6"/>
        <v>0</v>
      </c>
      <c r="N38" s="3">
        <f t="shared" si="6"/>
        <v>0</v>
      </c>
      <c r="O38" s="3">
        <f t="shared" si="6"/>
        <v>0</v>
      </c>
    </row>
    <row r="39" spans="2:15" x14ac:dyDescent="0.25">
      <c r="B39" s="17"/>
      <c r="C39" s="2">
        <v>80</v>
      </c>
      <c r="D39" s="2">
        <v>75</v>
      </c>
      <c r="E39" s="2">
        <v>77</v>
      </c>
      <c r="F39" s="2">
        <f t="shared" si="0"/>
        <v>46.4</v>
      </c>
      <c r="G39" s="2">
        <f t="shared" si="3"/>
        <v>0</v>
      </c>
      <c r="H39" s="3">
        <v>1</v>
      </c>
      <c r="I39" s="2">
        <f t="shared" si="4"/>
        <v>1</v>
      </c>
      <c r="J39" s="2">
        <f t="shared" si="1"/>
        <v>0.60000000000000009</v>
      </c>
      <c r="K39" s="2">
        <f t="shared" si="2"/>
        <v>0.57499999999999996</v>
      </c>
      <c r="L39" s="3">
        <f t="shared" si="5"/>
        <v>0.58499999999999996</v>
      </c>
      <c r="M39" s="3">
        <f t="shared" si="6"/>
        <v>0.40000000000000008</v>
      </c>
      <c r="N39" s="3">
        <f t="shared" si="6"/>
        <v>0.37499999999999994</v>
      </c>
      <c r="O39" s="3">
        <f t="shared" si="6"/>
        <v>0.38499999999999995</v>
      </c>
    </row>
    <row r="40" spans="2:15" x14ac:dyDescent="0.25">
      <c r="B40" s="17"/>
      <c r="C40" s="2">
        <v>86</v>
      </c>
      <c r="D40" s="2">
        <v>90</v>
      </c>
      <c r="E40" s="2">
        <v>77</v>
      </c>
      <c r="F40" s="2">
        <f t="shared" si="0"/>
        <v>148.39499999999998</v>
      </c>
      <c r="G40" s="2">
        <f>IF(F40&lt;$C$27,0,1)</f>
        <v>1</v>
      </c>
      <c r="H40" s="3">
        <v>1</v>
      </c>
      <c r="I40" s="2">
        <f t="shared" si="4"/>
        <v>0</v>
      </c>
      <c r="J40" s="2">
        <f t="shared" si="1"/>
        <v>0.60000000000000009</v>
      </c>
      <c r="K40" s="2">
        <f t="shared" si="2"/>
        <v>0.57499999999999996</v>
      </c>
      <c r="L40" s="3">
        <f t="shared" si="5"/>
        <v>0.58499999999999996</v>
      </c>
      <c r="M40" s="3">
        <f t="shared" si="6"/>
        <v>0</v>
      </c>
      <c r="N40" s="3">
        <f t="shared" si="6"/>
        <v>0</v>
      </c>
      <c r="O40" s="3">
        <f t="shared" si="6"/>
        <v>0</v>
      </c>
    </row>
    <row r="41" spans="2:15" x14ac:dyDescent="0.25">
      <c r="B41" s="17"/>
      <c r="C41" s="2">
        <v>87</v>
      </c>
      <c r="D41" s="2">
        <v>78</v>
      </c>
      <c r="E41" s="2">
        <v>91</v>
      </c>
      <c r="F41" s="2">
        <f t="shared" si="0"/>
        <v>150.28500000000003</v>
      </c>
      <c r="G41" s="2">
        <f t="shared" si="3"/>
        <v>1</v>
      </c>
      <c r="H41" s="3">
        <v>1</v>
      </c>
      <c r="I41" s="2">
        <f t="shared" si="4"/>
        <v>0</v>
      </c>
      <c r="J41" s="2">
        <f t="shared" si="1"/>
        <v>0.60000000000000009</v>
      </c>
      <c r="K41" s="2">
        <f t="shared" si="2"/>
        <v>0.57499999999999996</v>
      </c>
      <c r="L41" s="3">
        <f t="shared" si="5"/>
        <v>0.58499999999999996</v>
      </c>
      <c r="M41" s="3">
        <f t="shared" si="6"/>
        <v>0</v>
      </c>
      <c r="N41" s="3">
        <f t="shared" si="6"/>
        <v>0</v>
      </c>
      <c r="O41" s="3">
        <f t="shared" si="6"/>
        <v>0</v>
      </c>
    </row>
    <row r="42" spans="2:15" x14ac:dyDescent="0.25">
      <c r="B42" s="17"/>
      <c r="C42" s="2">
        <v>77</v>
      </c>
      <c r="D42" s="2">
        <v>71</v>
      </c>
      <c r="E42" s="2">
        <v>77</v>
      </c>
      <c r="F42" s="2">
        <f t="shared" si="0"/>
        <v>132.07</v>
      </c>
      <c r="G42" s="2">
        <f t="shared" si="3"/>
        <v>1</v>
      </c>
      <c r="H42" s="3">
        <v>1</v>
      </c>
      <c r="I42" s="2">
        <f t="shared" si="4"/>
        <v>0</v>
      </c>
      <c r="J42" s="2">
        <f t="shared" si="1"/>
        <v>0.60000000000000009</v>
      </c>
      <c r="K42" s="2">
        <f t="shared" si="2"/>
        <v>0.57499999999999996</v>
      </c>
      <c r="L42" s="3">
        <f t="shared" si="5"/>
        <v>0.58499999999999996</v>
      </c>
      <c r="M42" s="3">
        <f t="shared" si="6"/>
        <v>0</v>
      </c>
      <c r="N42" s="3">
        <f t="shared" si="6"/>
        <v>0</v>
      </c>
      <c r="O42" s="3">
        <f t="shared" si="6"/>
        <v>0</v>
      </c>
    </row>
    <row r="43" spans="2:15" x14ac:dyDescent="0.25">
      <c r="B43" s="17"/>
      <c r="C43" s="2">
        <v>82</v>
      </c>
      <c r="D43" s="2">
        <v>76</v>
      </c>
      <c r="E43" s="2">
        <v>99</v>
      </c>
      <c r="F43" s="2">
        <f t="shared" si="0"/>
        <v>150.815</v>
      </c>
      <c r="G43" s="2">
        <f t="shared" si="3"/>
        <v>1</v>
      </c>
      <c r="H43" s="3">
        <v>1</v>
      </c>
      <c r="I43" s="2">
        <f t="shared" si="4"/>
        <v>0</v>
      </c>
      <c r="J43" s="2">
        <f t="shared" si="1"/>
        <v>0.60000000000000009</v>
      </c>
      <c r="K43" s="2">
        <f t="shared" si="2"/>
        <v>0.57499999999999996</v>
      </c>
      <c r="L43" s="3">
        <f t="shared" si="5"/>
        <v>0.58499999999999996</v>
      </c>
      <c r="M43" s="3">
        <f t="shared" si="6"/>
        <v>0</v>
      </c>
      <c r="N43" s="3">
        <f t="shared" si="6"/>
        <v>0</v>
      </c>
      <c r="O43" s="3">
        <f t="shared" si="6"/>
        <v>0</v>
      </c>
    </row>
    <row r="44" spans="2:15" x14ac:dyDescent="0.25">
      <c r="B44" s="18"/>
      <c r="C44" s="2">
        <v>74</v>
      </c>
      <c r="D44" s="2">
        <v>88</v>
      </c>
      <c r="E44" s="2">
        <v>78</v>
      </c>
      <c r="F44" s="2">
        <f t="shared" si="0"/>
        <v>140.63</v>
      </c>
      <c r="G44" s="2">
        <f t="shared" si="3"/>
        <v>1</v>
      </c>
      <c r="H44" s="3">
        <v>1</v>
      </c>
      <c r="I44" s="2">
        <f t="shared" si="4"/>
        <v>0</v>
      </c>
      <c r="J44" s="2">
        <f t="shared" si="1"/>
        <v>0.60000000000000009</v>
      </c>
      <c r="K44" s="2">
        <f t="shared" si="2"/>
        <v>0.57499999999999996</v>
      </c>
      <c r="L44" s="3">
        <f t="shared" si="5"/>
        <v>0.58499999999999996</v>
      </c>
      <c r="M44" s="3">
        <f t="shared" si="6"/>
        <v>0</v>
      </c>
      <c r="N44" s="3">
        <f t="shared" si="6"/>
        <v>0</v>
      </c>
      <c r="O44" s="3">
        <f t="shared" si="6"/>
        <v>0</v>
      </c>
    </row>
    <row r="45" spans="2:15" x14ac:dyDescent="0.25">
      <c r="B45" s="13">
        <v>2</v>
      </c>
      <c r="C45" s="9">
        <v>50</v>
      </c>
      <c r="D45" s="9">
        <v>50</v>
      </c>
      <c r="E45" s="9">
        <v>50</v>
      </c>
      <c r="F45" s="10">
        <f t="shared" si="0"/>
        <v>88</v>
      </c>
      <c r="G45" s="10">
        <f t="shared" si="3"/>
        <v>1</v>
      </c>
      <c r="H45" s="9">
        <v>0</v>
      </c>
      <c r="I45" s="10">
        <f t="shared" si="4"/>
        <v>-1</v>
      </c>
      <c r="J45" s="10">
        <f t="shared" si="1"/>
        <v>0.35000000000000009</v>
      </c>
      <c r="K45" s="10">
        <f t="shared" si="2"/>
        <v>0.32499999999999996</v>
      </c>
      <c r="L45" s="9">
        <f t="shared" si="5"/>
        <v>0.33499999999999996</v>
      </c>
      <c r="M45" s="9">
        <f t="shared" si="6"/>
        <v>-0.25</v>
      </c>
      <c r="N45" s="9">
        <f t="shared" si="6"/>
        <v>-0.25</v>
      </c>
      <c r="O45" s="9">
        <f t="shared" si="6"/>
        <v>-0.25</v>
      </c>
    </row>
    <row r="46" spans="2:15" x14ac:dyDescent="0.25">
      <c r="B46" s="14"/>
      <c r="C46" s="9">
        <v>60</v>
      </c>
      <c r="D46" s="9">
        <v>40</v>
      </c>
      <c r="E46" s="9">
        <v>30</v>
      </c>
      <c r="F46" s="10">
        <f t="shared" si="0"/>
        <v>44.050000000000004</v>
      </c>
      <c r="G46" s="10">
        <f t="shared" si="3"/>
        <v>0</v>
      </c>
      <c r="H46" s="9">
        <v>0</v>
      </c>
      <c r="I46" s="10">
        <f t="shared" si="4"/>
        <v>0</v>
      </c>
      <c r="J46" s="10">
        <f t="shared" si="1"/>
        <v>0.35000000000000009</v>
      </c>
      <c r="K46" s="10">
        <f t="shared" si="2"/>
        <v>0.32499999999999996</v>
      </c>
      <c r="L46" s="9">
        <f t="shared" si="5"/>
        <v>0.33499999999999996</v>
      </c>
      <c r="M46" s="9">
        <f t="shared" si="6"/>
        <v>0</v>
      </c>
      <c r="N46" s="9">
        <f t="shared" si="6"/>
        <v>0</v>
      </c>
      <c r="O46" s="9">
        <f t="shared" si="6"/>
        <v>0</v>
      </c>
    </row>
    <row r="47" spans="2:15" x14ac:dyDescent="0.25">
      <c r="B47" s="14"/>
      <c r="C47" s="9">
        <v>40</v>
      </c>
      <c r="D47" s="9">
        <v>30</v>
      </c>
      <c r="E47" s="9">
        <v>70</v>
      </c>
      <c r="F47" s="10">
        <f t="shared" si="0"/>
        <v>47.199999999999996</v>
      </c>
      <c r="G47" s="10">
        <f t="shared" si="3"/>
        <v>0</v>
      </c>
      <c r="H47" s="9">
        <v>0</v>
      </c>
      <c r="I47" s="10">
        <f t="shared" si="4"/>
        <v>0</v>
      </c>
      <c r="J47" s="10">
        <f t="shared" si="1"/>
        <v>0.35000000000000009</v>
      </c>
      <c r="K47" s="10">
        <f t="shared" si="2"/>
        <v>0.32499999999999996</v>
      </c>
      <c r="L47" s="9">
        <f t="shared" si="5"/>
        <v>0.33499999999999996</v>
      </c>
      <c r="M47" s="9">
        <f t="shared" si="6"/>
        <v>0</v>
      </c>
      <c r="N47" s="9">
        <f t="shared" si="6"/>
        <v>0</v>
      </c>
      <c r="O47" s="9">
        <f t="shared" si="6"/>
        <v>0</v>
      </c>
    </row>
    <row r="48" spans="2:15" x14ac:dyDescent="0.25">
      <c r="B48" s="14"/>
      <c r="C48" s="9">
        <v>70</v>
      </c>
      <c r="D48" s="9">
        <v>43</v>
      </c>
      <c r="E48" s="9">
        <v>90</v>
      </c>
      <c r="F48" s="10">
        <f t="shared" si="0"/>
        <v>68.625</v>
      </c>
      <c r="G48" s="10">
        <f t="shared" si="3"/>
        <v>0</v>
      </c>
      <c r="H48" s="9">
        <v>0</v>
      </c>
      <c r="I48" s="10">
        <f t="shared" si="4"/>
        <v>0</v>
      </c>
      <c r="J48" s="10">
        <f t="shared" si="1"/>
        <v>0.35000000000000009</v>
      </c>
      <c r="K48" s="10">
        <f t="shared" si="2"/>
        <v>0.32499999999999996</v>
      </c>
      <c r="L48" s="9">
        <f t="shared" si="5"/>
        <v>0.33499999999999996</v>
      </c>
      <c r="M48" s="9">
        <f t="shared" si="6"/>
        <v>0</v>
      </c>
      <c r="N48" s="9">
        <f t="shared" si="6"/>
        <v>0</v>
      </c>
      <c r="O48" s="9">
        <f t="shared" si="6"/>
        <v>0</v>
      </c>
    </row>
    <row r="49" spans="2:15" x14ac:dyDescent="0.25">
      <c r="B49" s="14"/>
      <c r="C49" s="9">
        <v>65</v>
      </c>
      <c r="D49" s="9">
        <v>33</v>
      </c>
      <c r="E49" s="9">
        <v>80</v>
      </c>
      <c r="F49" s="10">
        <f t="shared" si="0"/>
        <v>60.275000000000006</v>
      </c>
      <c r="G49" s="10">
        <f t="shared" si="3"/>
        <v>0</v>
      </c>
      <c r="H49" s="9">
        <v>0</v>
      </c>
      <c r="I49" s="10">
        <f t="shared" si="4"/>
        <v>0</v>
      </c>
      <c r="J49" s="10">
        <f t="shared" si="1"/>
        <v>0.35000000000000009</v>
      </c>
      <c r="K49" s="10">
        <f t="shared" si="2"/>
        <v>0.32499999999999996</v>
      </c>
      <c r="L49" s="9">
        <f t="shared" si="5"/>
        <v>0.33499999999999996</v>
      </c>
      <c r="M49" s="9">
        <f t="shared" si="6"/>
        <v>0</v>
      </c>
      <c r="N49" s="9">
        <f t="shared" si="6"/>
        <v>0</v>
      </c>
      <c r="O49" s="9">
        <f t="shared" si="6"/>
        <v>0</v>
      </c>
    </row>
    <row r="50" spans="2:15" x14ac:dyDescent="0.25">
      <c r="B50" s="14"/>
      <c r="C50" s="9">
        <v>66</v>
      </c>
      <c r="D50" s="9">
        <v>48</v>
      </c>
      <c r="E50" s="9">
        <v>40</v>
      </c>
      <c r="F50" s="10">
        <f t="shared" si="0"/>
        <v>52.1</v>
      </c>
      <c r="G50" s="10">
        <f t="shared" si="3"/>
        <v>0</v>
      </c>
      <c r="H50" s="9">
        <v>0</v>
      </c>
      <c r="I50" s="10">
        <f t="shared" si="4"/>
        <v>0</v>
      </c>
      <c r="J50" s="10">
        <f t="shared" si="1"/>
        <v>0.35000000000000009</v>
      </c>
      <c r="K50" s="10">
        <f t="shared" si="2"/>
        <v>0.32499999999999996</v>
      </c>
      <c r="L50" s="9">
        <f t="shared" si="5"/>
        <v>0.33499999999999996</v>
      </c>
      <c r="M50" s="9">
        <f t="shared" si="6"/>
        <v>0</v>
      </c>
      <c r="N50" s="9">
        <f t="shared" si="6"/>
        <v>0</v>
      </c>
      <c r="O50" s="9">
        <f t="shared" si="6"/>
        <v>0</v>
      </c>
    </row>
    <row r="51" spans="2:15" x14ac:dyDescent="0.25">
      <c r="B51" s="14"/>
      <c r="C51" s="9">
        <v>87</v>
      </c>
      <c r="D51" s="9">
        <v>66</v>
      </c>
      <c r="E51" s="9">
        <v>60</v>
      </c>
      <c r="F51" s="10">
        <f t="shared" si="0"/>
        <v>72</v>
      </c>
      <c r="G51" s="10">
        <f t="shared" si="3"/>
        <v>0</v>
      </c>
      <c r="H51" s="9">
        <v>0</v>
      </c>
      <c r="I51" s="10">
        <f t="shared" si="4"/>
        <v>0</v>
      </c>
      <c r="J51" s="10">
        <f t="shared" si="1"/>
        <v>0.35000000000000009</v>
      </c>
      <c r="K51" s="10">
        <f t="shared" si="2"/>
        <v>0.32499999999999996</v>
      </c>
      <c r="L51" s="9">
        <f t="shared" si="5"/>
        <v>0.33499999999999996</v>
      </c>
      <c r="M51" s="9">
        <f t="shared" si="6"/>
        <v>0</v>
      </c>
      <c r="N51" s="9">
        <f t="shared" si="6"/>
        <v>0</v>
      </c>
      <c r="O51" s="9">
        <f t="shared" si="6"/>
        <v>0</v>
      </c>
    </row>
    <row r="52" spans="2:15" x14ac:dyDescent="0.25">
      <c r="B52" s="14"/>
      <c r="C52" s="9">
        <v>35</v>
      </c>
      <c r="D52" s="9">
        <v>78</v>
      </c>
      <c r="E52" s="9">
        <v>75</v>
      </c>
      <c r="F52" s="10">
        <f t="shared" si="0"/>
        <v>62.724999999999994</v>
      </c>
      <c r="G52" s="10">
        <f t="shared" si="3"/>
        <v>0</v>
      </c>
      <c r="H52" s="9">
        <v>0</v>
      </c>
      <c r="I52" s="10">
        <f t="shared" si="4"/>
        <v>0</v>
      </c>
      <c r="J52" s="10">
        <f t="shared" si="1"/>
        <v>0.35000000000000009</v>
      </c>
      <c r="K52" s="10">
        <f t="shared" si="2"/>
        <v>0.32499999999999996</v>
      </c>
      <c r="L52" s="9">
        <f t="shared" si="5"/>
        <v>0.33499999999999996</v>
      </c>
      <c r="M52" s="9">
        <f t="shared" si="6"/>
        <v>0</v>
      </c>
      <c r="N52" s="9">
        <f t="shared" si="6"/>
        <v>0</v>
      </c>
      <c r="O52" s="9">
        <f t="shared" si="6"/>
        <v>0</v>
      </c>
    </row>
    <row r="53" spans="2:15" x14ac:dyDescent="0.25">
      <c r="B53" s="14"/>
      <c r="C53" s="9">
        <v>55</v>
      </c>
      <c r="D53" s="9">
        <v>81</v>
      </c>
      <c r="E53" s="9">
        <v>83</v>
      </c>
      <c r="F53" s="10">
        <f t="shared" si="0"/>
        <v>73.38</v>
      </c>
      <c r="G53" s="10">
        <f t="shared" si="3"/>
        <v>0</v>
      </c>
      <c r="H53" s="9">
        <v>0</v>
      </c>
      <c r="I53" s="10">
        <f t="shared" si="4"/>
        <v>0</v>
      </c>
      <c r="J53" s="10">
        <f t="shared" si="1"/>
        <v>0.35000000000000009</v>
      </c>
      <c r="K53" s="10">
        <f t="shared" si="2"/>
        <v>0.32499999999999996</v>
      </c>
      <c r="L53" s="9">
        <f t="shared" si="5"/>
        <v>0.33499999999999996</v>
      </c>
      <c r="M53" s="9">
        <f t="shared" si="6"/>
        <v>0</v>
      </c>
      <c r="N53" s="9">
        <f t="shared" si="6"/>
        <v>0</v>
      </c>
      <c r="O53" s="9">
        <f t="shared" si="6"/>
        <v>0</v>
      </c>
    </row>
    <row r="54" spans="2:15" x14ac:dyDescent="0.25">
      <c r="B54" s="14"/>
      <c r="C54" s="9">
        <v>80</v>
      </c>
      <c r="D54" s="9">
        <v>75</v>
      </c>
      <c r="E54" s="9">
        <v>77</v>
      </c>
      <c r="F54" s="10">
        <f t="shared" si="0"/>
        <v>78.17</v>
      </c>
      <c r="G54" s="10">
        <f t="shared" si="3"/>
        <v>1</v>
      </c>
      <c r="H54" s="9">
        <v>1</v>
      </c>
      <c r="I54" s="10">
        <f t="shared" si="4"/>
        <v>0</v>
      </c>
      <c r="J54" s="10">
        <f t="shared" si="1"/>
        <v>0.35000000000000009</v>
      </c>
      <c r="K54" s="10">
        <f t="shared" si="2"/>
        <v>0.32499999999999996</v>
      </c>
      <c r="L54" s="9">
        <f t="shared" si="5"/>
        <v>0.33499999999999996</v>
      </c>
      <c r="M54" s="9">
        <f t="shared" si="6"/>
        <v>0</v>
      </c>
      <c r="N54" s="9">
        <f t="shared" si="6"/>
        <v>0</v>
      </c>
      <c r="O54" s="9">
        <f t="shared" si="6"/>
        <v>0</v>
      </c>
    </row>
    <row r="55" spans="2:15" x14ac:dyDescent="0.25">
      <c r="B55" s="14"/>
      <c r="C55" s="9">
        <v>86</v>
      </c>
      <c r="D55" s="9">
        <v>90</v>
      </c>
      <c r="E55" s="9">
        <v>77</v>
      </c>
      <c r="F55" s="10">
        <f t="shared" si="0"/>
        <v>85.14500000000001</v>
      </c>
      <c r="G55" s="10">
        <f t="shared" si="3"/>
        <v>1</v>
      </c>
      <c r="H55" s="9">
        <v>1</v>
      </c>
      <c r="I55" s="10">
        <f t="shared" si="4"/>
        <v>0</v>
      </c>
      <c r="J55" s="10">
        <f t="shared" si="1"/>
        <v>0.35000000000000009</v>
      </c>
      <c r="K55" s="10">
        <f t="shared" si="2"/>
        <v>0.32499999999999996</v>
      </c>
      <c r="L55" s="9">
        <f t="shared" si="5"/>
        <v>0.33499999999999996</v>
      </c>
      <c r="M55" s="9">
        <f t="shared" si="6"/>
        <v>0</v>
      </c>
      <c r="N55" s="9">
        <f t="shared" si="6"/>
        <v>0</v>
      </c>
      <c r="O55" s="9">
        <f t="shared" si="6"/>
        <v>0</v>
      </c>
    </row>
    <row r="56" spans="2:15" x14ac:dyDescent="0.25">
      <c r="B56" s="14"/>
      <c r="C56" s="9">
        <v>87</v>
      </c>
      <c r="D56" s="9">
        <v>78</v>
      </c>
      <c r="E56" s="9">
        <v>91</v>
      </c>
      <c r="F56" s="10">
        <f t="shared" si="0"/>
        <v>86.284999999999997</v>
      </c>
      <c r="G56" s="10">
        <f t="shared" si="3"/>
        <v>1</v>
      </c>
      <c r="H56" s="9">
        <v>1</v>
      </c>
      <c r="I56" s="10">
        <f t="shared" si="4"/>
        <v>0</v>
      </c>
      <c r="J56" s="10">
        <f t="shared" si="1"/>
        <v>0.35000000000000009</v>
      </c>
      <c r="K56" s="10">
        <f t="shared" si="2"/>
        <v>0.32499999999999996</v>
      </c>
      <c r="L56" s="9">
        <f t="shared" si="5"/>
        <v>0.33499999999999996</v>
      </c>
      <c r="M56" s="9">
        <f t="shared" si="6"/>
        <v>0</v>
      </c>
      <c r="N56" s="9">
        <f t="shared" si="6"/>
        <v>0</v>
      </c>
      <c r="O56" s="9">
        <f t="shared" si="6"/>
        <v>0</v>
      </c>
    </row>
    <row r="57" spans="2:15" x14ac:dyDescent="0.25">
      <c r="B57" s="14"/>
      <c r="C57" s="9">
        <v>77</v>
      </c>
      <c r="D57" s="9">
        <v>71</v>
      </c>
      <c r="E57" s="9">
        <v>77</v>
      </c>
      <c r="F57" s="10">
        <f t="shared" si="0"/>
        <v>75.820000000000007</v>
      </c>
      <c r="G57" s="10">
        <f t="shared" si="3"/>
        <v>1</v>
      </c>
      <c r="H57" s="9">
        <v>1</v>
      </c>
      <c r="I57" s="10">
        <f t="shared" si="4"/>
        <v>0</v>
      </c>
      <c r="J57" s="10">
        <f t="shared" si="1"/>
        <v>0.35000000000000009</v>
      </c>
      <c r="K57" s="10">
        <f t="shared" si="2"/>
        <v>0.32499999999999996</v>
      </c>
      <c r="L57" s="9">
        <f t="shared" si="5"/>
        <v>0.33499999999999996</v>
      </c>
      <c r="M57" s="9">
        <f t="shared" si="6"/>
        <v>0</v>
      </c>
      <c r="N57" s="9">
        <f t="shared" si="6"/>
        <v>0</v>
      </c>
      <c r="O57" s="9">
        <f t="shared" si="6"/>
        <v>0</v>
      </c>
    </row>
    <row r="58" spans="2:15" x14ac:dyDescent="0.25">
      <c r="B58" s="14"/>
      <c r="C58" s="9">
        <v>82</v>
      </c>
      <c r="D58" s="9">
        <v>76</v>
      </c>
      <c r="E58" s="9">
        <v>99</v>
      </c>
      <c r="F58" s="10">
        <f t="shared" si="0"/>
        <v>86.564999999999998</v>
      </c>
      <c r="G58" s="10">
        <f t="shared" si="3"/>
        <v>1</v>
      </c>
      <c r="H58" s="9">
        <v>1</v>
      </c>
      <c r="I58" s="10">
        <f t="shared" si="4"/>
        <v>0</v>
      </c>
      <c r="J58" s="10">
        <f t="shared" si="1"/>
        <v>0.35000000000000009</v>
      </c>
      <c r="K58" s="10">
        <f t="shared" si="2"/>
        <v>0.32499999999999996</v>
      </c>
      <c r="L58" s="9">
        <f t="shared" si="5"/>
        <v>0.33499999999999996</v>
      </c>
      <c r="M58" s="9">
        <f t="shared" si="6"/>
        <v>0</v>
      </c>
      <c r="N58" s="9">
        <f t="shared" si="6"/>
        <v>0</v>
      </c>
      <c r="O58" s="9">
        <f t="shared" si="6"/>
        <v>0</v>
      </c>
    </row>
    <row r="59" spans="2:15" x14ac:dyDescent="0.25">
      <c r="B59" s="15"/>
      <c r="C59" s="9">
        <v>74</v>
      </c>
      <c r="D59" s="9">
        <v>88</v>
      </c>
      <c r="E59" s="9">
        <v>78</v>
      </c>
      <c r="F59" s="10">
        <f t="shared" si="0"/>
        <v>80.63</v>
      </c>
      <c r="G59" s="10">
        <f t="shared" si="3"/>
        <v>1</v>
      </c>
      <c r="H59" s="9">
        <v>1</v>
      </c>
      <c r="I59" s="10">
        <f t="shared" si="4"/>
        <v>0</v>
      </c>
      <c r="J59" s="10">
        <f t="shared" si="1"/>
        <v>0.35000000000000009</v>
      </c>
      <c r="K59" s="10">
        <f t="shared" si="2"/>
        <v>0.32499999999999996</v>
      </c>
      <c r="L59" s="9">
        <f t="shared" si="5"/>
        <v>0.33499999999999996</v>
      </c>
      <c r="M59" s="9">
        <f t="shared" si="6"/>
        <v>0</v>
      </c>
      <c r="N59" s="9">
        <f t="shared" si="6"/>
        <v>0</v>
      </c>
      <c r="O59" s="9">
        <f t="shared" si="6"/>
        <v>0</v>
      </c>
    </row>
    <row r="60" spans="2:15" x14ac:dyDescent="0.25">
      <c r="B60" s="16">
        <v>3</v>
      </c>
      <c r="C60" s="3">
        <v>50</v>
      </c>
      <c r="D60" s="3">
        <v>50</v>
      </c>
      <c r="E60" s="3">
        <v>50</v>
      </c>
      <c r="F60" s="2">
        <f t="shared" si="0"/>
        <v>50.5</v>
      </c>
      <c r="G60" s="2">
        <f t="shared" si="3"/>
        <v>0</v>
      </c>
      <c r="H60" s="3">
        <v>0</v>
      </c>
      <c r="I60" s="2">
        <f t="shared" si="4"/>
        <v>0</v>
      </c>
      <c r="J60" s="2">
        <f t="shared" si="1"/>
        <v>0.35000000000000009</v>
      </c>
      <c r="K60" s="2">
        <f t="shared" si="2"/>
        <v>0.32499999999999996</v>
      </c>
      <c r="L60" s="3">
        <f t="shared" si="5"/>
        <v>0.33499999999999996</v>
      </c>
      <c r="M60" s="3">
        <f t="shared" si="6"/>
        <v>0</v>
      </c>
      <c r="N60" s="3">
        <f t="shared" si="6"/>
        <v>0</v>
      </c>
      <c r="O60" s="3">
        <f t="shared" si="6"/>
        <v>0</v>
      </c>
    </row>
    <row r="61" spans="2:15" x14ac:dyDescent="0.25">
      <c r="B61" s="17"/>
      <c r="C61" s="3">
        <v>60</v>
      </c>
      <c r="D61" s="3">
        <v>40</v>
      </c>
      <c r="E61" s="3">
        <v>30</v>
      </c>
      <c r="F61" s="2">
        <f t="shared" si="0"/>
        <v>44.050000000000004</v>
      </c>
      <c r="G61" s="2">
        <f t="shared" si="3"/>
        <v>0</v>
      </c>
      <c r="H61" s="3">
        <v>0</v>
      </c>
      <c r="I61" s="2">
        <f t="shared" si="4"/>
        <v>0</v>
      </c>
      <c r="J61" s="2">
        <f t="shared" si="1"/>
        <v>0.35000000000000009</v>
      </c>
      <c r="K61" s="2">
        <f t="shared" si="2"/>
        <v>0.32499999999999996</v>
      </c>
      <c r="L61" s="3">
        <f t="shared" si="5"/>
        <v>0.33499999999999996</v>
      </c>
      <c r="M61" s="3">
        <f t="shared" si="6"/>
        <v>0</v>
      </c>
      <c r="N61" s="3">
        <f t="shared" si="6"/>
        <v>0</v>
      </c>
      <c r="O61" s="3">
        <f t="shared" si="6"/>
        <v>0</v>
      </c>
    </row>
    <row r="62" spans="2:15" x14ac:dyDescent="0.25">
      <c r="B62" s="17"/>
      <c r="C62" s="3">
        <v>40</v>
      </c>
      <c r="D62" s="3">
        <v>30</v>
      </c>
      <c r="E62" s="3">
        <v>70</v>
      </c>
      <c r="F62" s="2">
        <f t="shared" si="0"/>
        <v>47.199999999999996</v>
      </c>
      <c r="G62" s="2">
        <f t="shared" si="3"/>
        <v>0</v>
      </c>
      <c r="H62" s="3">
        <v>0</v>
      </c>
      <c r="I62" s="2">
        <f t="shared" si="4"/>
        <v>0</v>
      </c>
      <c r="J62" s="2">
        <f t="shared" si="1"/>
        <v>0.35000000000000009</v>
      </c>
      <c r="K62" s="2">
        <f t="shared" si="2"/>
        <v>0.32499999999999996</v>
      </c>
      <c r="L62" s="3">
        <f t="shared" si="5"/>
        <v>0.33499999999999996</v>
      </c>
      <c r="M62" s="3">
        <f t="shared" si="6"/>
        <v>0</v>
      </c>
      <c r="N62" s="3">
        <f t="shared" si="6"/>
        <v>0</v>
      </c>
      <c r="O62" s="3">
        <f t="shared" si="6"/>
        <v>0</v>
      </c>
    </row>
    <row r="63" spans="2:15" x14ac:dyDescent="0.25">
      <c r="B63" s="17"/>
      <c r="C63" s="3">
        <v>70</v>
      </c>
      <c r="D63" s="3">
        <v>43</v>
      </c>
      <c r="E63" s="3">
        <v>90</v>
      </c>
      <c r="F63" s="2">
        <f t="shared" si="0"/>
        <v>68.625</v>
      </c>
      <c r="G63" s="2">
        <f t="shared" si="3"/>
        <v>0</v>
      </c>
      <c r="H63" s="3">
        <v>0</v>
      </c>
      <c r="I63" s="2">
        <f t="shared" si="4"/>
        <v>0</v>
      </c>
      <c r="J63" s="2">
        <f t="shared" si="1"/>
        <v>0.35000000000000009</v>
      </c>
      <c r="K63" s="2">
        <f t="shared" si="2"/>
        <v>0.32499999999999996</v>
      </c>
      <c r="L63" s="3">
        <f t="shared" si="5"/>
        <v>0.33499999999999996</v>
      </c>
      <c r="M63" s="3">
        <f t="shared" si="6"/>
        <v>0</v>
      </c>
      <c r="N63" s="3">
        <f t="shared" si="6"/>
        <v>0</v>
      </c>
      <c r="O63" s="3">
        <f t="shared" si="6"/>
        <v>0</v>
      </c>
    </row>
    <row r="64" spans="2:15" x14ac:dyDescent="0.25">
      <c r="B64" s="17"/>
      <c r="C64" s="3">
        <v>65</v>
      </c>
      <c r="D64" s="3">
        <v>33</v>
      </c>
      <c r="E64" s="3">
        <v>80</v>
      </c>
      <c r="F64" s="2">
        <f t="shared" si="0"/>
        <v>60.275000000000006</v>
      </c>
      <c r="G64" s="2">
        <f t="shared" si="3"/>
        <v>0</v>
      </c>
      <c r="H64" s="3">
        <v>0</v>
      </c>
      <c r="I64" s="2">
        <f t="shared" si="4"/>
        <v>0</v>
      </c>
      <c r="J64" s="2">
        <f t="shared" si="1"/>
        <v>0.35000000000000009</v>
      </c>
      <c r="K64" s="2">
        <f t="shared" si="2"/>
        <v>0.32499999999999996</v>
      </c>
      <c r="L64" s="3">
        <f t="shared" si="5"/>
        <v>0.33499999999999996</v>
      </c>
      <c r="M64" s="3">
        <f t="shared" si="6"/>
        <v>0</v>
      </c>
      <c r="N64" s="3">
        <f t="shared" si="6"/>
        <v>0</v>
      </c>
      <c r="O64" s="3">
        <f t="shared" si="6"/>
        <v>0</v>
      </c>
    </row>
    <row r="65" spans="2:15" x14ac:dyDescent="0.25">
      <c r="B65" s="17"/>
      <c r="C65" s="3">
        <v>66</v>
      </c>
      <c r="D65" s="3">
        <v>48</v>
      </c>
      <c r="E65" s="3">
        <v>40</v>
      </c>
      <c r="F65" s="2">
        <f t="shared" si="0"/>
        <v>52.1</v>
      </c>
      <c r="G65" s="2">
        <f t="shared" si="3"/>
        <v>0</v>
      </c>
      <c r="H65" s="3">
        <v>0</v>
      </c>
      <c r="I65" s="2">
        <f t="shared" si="4"/>
        <v>0</v>
      </c>
      <c r="J65" s="2">
        <f t="shared" si="1"/>
        <v>0.35000000000000009</v>
      </c>
      <c r="K65" s="2">
        <f t="shared" si="2"/>
        <v>0.32499999999999996</v>
      </c>
      <c r="L65" s="3">
        <f t="shared" si="5"/>
        <v>0.33499999999999996</v>
      </c>
      <c r="M65" s="3">
        <f t="shared" si="6"/>
        <v>0</v>
      </c>
      <c r="N65" s="3">
        <f t="shared" si="6"/>
        <v>0</v>
      </c>
      <c r="O65" s="3">
        <f t="shared" si="6"/>
        <v>0</v>
      </c>
    </row>
    <row r="66" spans="2:15" x14ac:dyDescent="0.25">
      <c r="B66" s="17"/>
      <c r="C66" s="3">
        <v>87</v>
      </c>
      <c r="D66" s="3">
        <v>66</v>
      </c>
      <c r="E66" s="3">
        <v>60</v>
      </c>
      <c r="F66" s="2">
        <f t="shared" si="0"/>
        <v>72</v>
      </c>
      <c r="G66" s="2">
        <f t="shared" si="3"/>
        <v>0</v>
      </c>
      <c r="H66" s="3">
        <v>0</v>
      </c>
      <c r="I66" s="2">
        <f t="shared" si="4"/>
        <v>0</v>
      </c>
      <c r="J66" s="2">
        <f t="shared" si="1"/>
        <v>0.35000000000000009</v>
      </c>
      <c r="K66" s="2">
        <f t="shared" si="2"/>
        <v>0.32499999999999996</v>
      </c>
      <c r="L66" s="3">
        <f t="shared" si="5"/>
        <v>0.33499999999999996</v>
      </c>
      <c r="M66" s="3">
        <f t="shared" si="6"/>
        <v>0</v>
      </c>
      <c r="N66" s="3">
        <f t="shared" si="6"/>
        <v>0</v>
      </c>
      <c r="O66" s="3">
        <f t="shared" si="6"/>
        <v>0</v>
      </c>
    </row>
    <row r="67" spans="2:15" x14ac:dyDescent="0.25">
      <c r="B67" s="17"/>
      <c r="C67" s="3">
        <v>35</v>
      </c>
      <c r="D67" s="3">
        <v>78</v>
      </c>
      <c r="E67" s="3">
        <v>75</v>
      </c>
      <c r="F67" s="2">
        <f t="shared" si="0"/>
        <v>62.724999999999994</v>
      </c>
      <c r="G67" s="2">
        <f t="shared" si="3"/>
        <v>0</v>
      </c>
      <c r="H67" s="3">
        <v>0</v>
      </c>
      <c r="I67" s="2">
        <f t="shared" si="4"/>
        <v>0</v>
      </c>
      <c r="J67" s="2">
        <f t="shared" si="1"/>
        <v>0.35000000000000009</v>
      </c>
      <c r="K67" s="2">
        <f t="shared" si="2"/>
        <v>0.32499999999999996</v>
      </c>
      <c r="L67" s="3">
        <f t="shared" si="5"/>
        <v>0.33499999999999996</v>
      </c>
      <c r="M67" s="3">
        <f t="shared" si="6"/>
        <v>0</v>
      </c>
      <c r="N67" s="3">
        <f t="shared" si="6"/>
        <v>0</v>
      </c>
      <c r="O67" s="3">
        <f t="shared" si="6"/>
        <v>0</v>
      </c>
    </row>
    <row r="68" spans="2:15" x14ac:dyDescent="0.25">
      <c r="B68" s="17"/>
      <c r="C68" s="3">
        <v>55</v>
      </c>
      <c r="D68" s="3">
        <v>81</v>
      </c>
      <c r="E68" s="3">
        <v>83</v>
      </c>
      <c r="F68" s="2">
        <f t="shared" si="0"/>
        <v>73.38</v>
      </c>
      <c r="G68" s="2">
        <f t="shared" si="3"/>
        <v>0</v>
      </c>
      <c r="H68" s="3">
        <v>0</v>
      </c>
      <c r="I68" s="2">
        <f t="shared" si="4"/>
        <v>0</v>
      </c>
      <c r="J68" s="2">
        <f t="shared" si="1"/>
        <v>0.35000000000000009</v>
      </c>
      <c r="K68" s="2">
        <f t="shared" si="2"/>
        <v>0.32499999999999996</v>
      </c>
      <c r="L68" s="3">
        <f t="shared" si="5"/>
        <v>0.33499999999999996</v>
      </c>
      <c r="M68" s="3">
        <f t="shared" si="6"/>
        <v>0</v>
      </c>
      <c r="N68" s="3">
        <f t="shared" si="6"/>
        <v>0</v>
      </c>
      <c r="O68" s="3">
        <f t="shared" si="6"/>
        <v>0</v>
      </c>
    </row>
    <row r="69" spans="2:15" x14ac:dyDescent="0.25">
      <c r="B69" s="17"/>
      <c r="C69" s="3">
        <v>80</v>
      </c>
      <c r="D69" s="3">
        <v>75</v>
      </c>
      <c r="E69" s="3">
        <v>77</v>
      </c>
      <c r="F69" s="2">
        <f t="shared" si="0"/>
        <v>78.17</v>
      </c>
      <c r="G69" s="2">
        <f t="shared" si="3"/>
        <v>1</v>
      </c>
      <c r="H69" s="3">
        <v>1</v>
      </c>
      <c r="I69" s="2">
        <f t="shared" si="4"/>
        <v>0</v>
      </c>
      <c r="J69" s="2">
        <f t="shared" si="1"/>
        <v>0.35000000000000009</v>
      </c>
      <c r="K69" s="2">
        <f t="shared" si="2"/>
        <v>0.32499999999999996</v>
      </c>
      <c r="L69" s="3">
        <f t="shared" si="5"/>
        <v>0.33499999999999996</v>
      </c>
      <c r="M69" s="3">
        <f t="shared" si="6"/>
        <v>0</v>
      </c>
      <c r="N69" s="3">
        <f t="shared" si="6"/>
        <v>0</v>
      </c>
      <c r="O69" s="3">
        <f t="shared" si="6"/>
        <v>0</v>
      </c>
    </row>
    <row r="70" spans="2:15" x14ac:dyDescent="0.25">
      <c r="B70" s="17"/>
      <c r="C70" s="3">
        <v>86</v>
      </c>
      <c r="D70" s="3">
        <v>90</v>
      </c>
      <c r="E70" s="3">
        <v>77</v>
      </c>
      <c r="F70" s="2">
        <f t="shared" si="0"/>
        <v>85.14500000000001</v>
      </c>
      <c r="G70" s="2">
        <f t="shared" si="3"/>
        <v>1</v>
      </c>
      <c r="H70" s="3">
        <v>1</v>
      </c>
      <c r="I70" s="2">
        <f t="shared" si="4"/>
        <v>0</v>
      </c>
      <c r="J70" s="2">
        <f t="shared" si="1"/>
        <v>0.35000000000000009</v>
      </c>
      <c r="K70" s="2">
        <f t="shared" si="2"/>
        <v>0.32499999999999996</v>
      </c>
      <c r="L70" s="3">
        <f t="shared" si="5"/>
        <v>0.33499999999999996</v>
      </c>
      <c r="M70" s="3">
        <f t="shared" si="6"/>
        <v>0</v>
      </c>
      <c r="N70" s="3">
        <f t="shared" si="6"/>
        <v>0</v>
      </c>
      <c r="O70" s="3">
        <f t="shared" si="6"/>
        <v>0</v>
      </c>
    </row>
    <row r="71" spans="2:15" x14ac:dyDescent="0.25">
      <c r="B71" s="17"/>
      <c r="C71" s="3">
        <v>87</v>
      </c>
      <c r="D71" s="3">
        <v>78</v>
      </c>
      <c r="E71" s="3">
        <v>91</v>
      </c>
      <c r="F71" s="2">
        <f t="shared" si="0"/>
        <v>86.284999999999997</v>
      </c>
      <c r="G71" s="2">
        <f t="shared" si="3"/>
        <v>1</v>
      </c>
      <c r="H71" s="3">
        <v>1</v>
      </c>
      <c r="I71" s="2">
        <f t="shared" si="4"/>
        <v>0</v>
      </c>
      <c r="J71" s="2">
        <f t="shared" si="1"/>
        <v>0.35000000000000009</v>
      </c>
      <c r="K71" s="2">
        <f t="shared" si="2"/>
        <v>0.32499999999999996</v>
      </c>
      <c r="L71" s="3">
        <f t="shared" si="5"/>
        <v>0.33499999999999996</v>
      </c>
      <c r="M71" s="3">
        <f t="shared" si="6"/>
        <v>0</v>
      </c>
      <c r="N71" s="3">
        <f t="shared" si="6"/>
        <v>0</v>
      </c>
      <c r="O71" s="3">
        <f t="shared" si="6"/>
        <v>0</v>
      </c>
    </row>
    <row r="72" spans="2:15" x14ac:dyDescent="0.25">
      <c r="B72" s="17"/>
      <c r="C72" s="3">
        <v>77</v>
      </c>
      <c r="D72" s="3">
        <v>71</v>
      </c>
      <c r="E72" s="3">
        <v>77</v>
      </c>
      <c r="F72" s="2">
        <f t="shared" si="0"/>
        <v>75.820000000000007</v>
      </c>
      <c r="G72" s="2">
        <f t="shared" si="3"/>
        <v>1</v>
      </c>
      <c r="H72" s="3">
        <v>1</v>
      </c>
      <c r="I72" s="2">
        <f t="shared" si="4"/>
        <v>0</v>
      </c>
      <c r="J72" s="2">
        <f t="shared" si="1"/>
        <v>0.35000000000000009</v>
      </c>
      <c r="K72" s="2">
        <f t="shared" si="2"/>
        <v>0.32499999999999996</v>
      </c>
      <c r="L72" s="3">
        <f t="shared" si="5"/>
        <v>0.33499999999999996</v>
      </c>
      <c r="M72" s="3">
        <f t="shared" si="6"/>
        <v>0</v>
      </c>
      <c r="N72" s="3">
        <f t="shared" si="6"/>
        <v>0</v>
      </c>
      <c r="O72" s="3">
        <f t="shared" si="6"/>
        <v>0</v>
      </c>
    </row>
    <row r="73" spans="2:15" x14ac:dyDescent="0.25">
      <c r="B73" s="17"/>
      <c r="C73" s="3">
        <v>82</v>
      </c>
      <c r="D73" s="3">
        <v>76</v>
      </c>
      <c r="E73" s="3">
        <v>99</v>
      </c>
      <c r="F73" s="2">
        <f t="shared" si="0"/>
        <v>86.564999999999998</v>
      </c>
      <c r="G73" s="2">
        <f t="shared" si="3"/>
        <v>1</v>
      </c>
      <c r="H73" s="3">
        <v>1</v>
      </c>
      <c r="I73" s="2">
        <f t="shared" si="4"/>
        <v>0</v>
      </c>
      <c r="J73" s="2">
        <f t="shared" si="1"/>
        <v>0.35000000000000009</v>
      </c>
      <c r="K73" s="2">
        <f t="shared" si="2"/>
        <v>0.32499999999999996</v>
      </c>
      <c r="L73" s="3">
        <f t="shared" si="5"/>
        <v>0.33499999999999996</v>
      </c>
      <c r="M73" s="3">
        <f t="shared" si="6"/>
        <v>0</v>
      </c>
      <c r="N73" s="3">
        <f t="shared" si="6"/>
        <v>0</v>
      </c>
      <c r="O73" s="3">
        <f t="shared" si="6"/>
        <v>0</v>
      </c>
    </row>
    <row r="74" spans="2:15" x14ac:dyDescent="0.25">
      <c r="B74" s="18"/>
      <c r="C74" s="3">
        <v>74</v>
      </c>
      <c r="D74" s="3">
        <v>88</v>
      </c>
      <c r="E74" s="3">
        <v>78</v>
      </c>
      <c r="F74" s="2">
        <f t="shared" si="0"/>
        <v>80.63</v>
      </c>
      <c r="G74" s="2">
        <f t="shared" si="3"/>
        <v>1</v>
      </c>
      <c r="H74" s="3">
        <v>1</v>
      </c>
      <c r="I74" s="2">
        <f t="shared" si="4"/>
        <v>0</v>
      </c>
      <c r="J74" s="2">
        <f t="shared" si="1"/>
        <v>0.35000000000000009</v>
      </c>
      <c r="K74" s="2">
        <f t="shared" si="2"/>
        <v>0.32499999999999996</v>
      </c>
      <c r="L74" s="3">
        <f t="shared" si="5"/>
        <v>0.33499999999999996</v>
      </c>
      <c r="M74" s="3">
        <f t="shared" si="6"/>
        <v>0</v>
      </c>
      <c r="N74" s="3">
        <f t="shared" si="6"/>
        <v>0</v>
      </c>
      <c r="O74" s="3">
        <f t="shared" si="6"/>
        <v>0</v>
      </c>
    </row>
    <row r="75" spans="2:15" x14ac:dyDescent="0.25">
      <c r="B75" s="19" t="s">
        <v>28</v>
      </c>
      <c r="C75" s="4">
        <v>74</v>
      </c>
      <c r="D75" s="4">
        <v>74</v>
      </c>
      <c r="E75" s="4">
        <v>74</v>
      </c>
      <c r="F75" s="4">
        <f>C75*J74+D75*K74+E75*L74</f>
        <v>74.740000000000009</v>
      </c>
      <c r="G75" s="4">
        <f>IF(F75&lt;$C$27,0,1)</f>
        <v>0</v>
      </c>
    </row>
    <row r="76" spans="2:15" x14ac:dyDescent="0.25">
      <c r="B76" s="20"/>
      <c r="C76" s="4">
        <v>79</v>
      </c>
      <c r="D76" s="4">
        <v>75</v>
      </c>
      <c r="E76" s="4">
        <v>76</v>
      </c>
      <c r="F76" s="4">
        <f>C76*J74+D76*K74+E76*L74</f>
        <v>77.484999999999999</v>
      </c>
      <c r="G76" s="4">
        <f t="shared" si="3"/>
        <v>1</v>
      </c>
    </row>
    <row r="77" spans="2:15" x14ac:dyDescent="0.25">
      <c r="B77" s="20"/>
      <c r="C77" s="4">
        <v>74</v>
      </c>
      <c r="D77" s="4">
        <v>75</v>
      </c>
      <c r="E77" s="4">
        <v>75</v>
      </c>
      <c r="F77" s="4">
        <f>C77*J74+D77*K74+E77*L74</f>
        <v>75.400000000000006</v>
      </c>
      <c r="G77" s="4">
        <f t="shared" si="3"/>
        <v>1</v>
      </c>
    </row>
    <row r="78" spans="2:15" x14ac:dyDescent="0.25">
      <c r="B78" s="21"/>
      <c r="C78" s="4">
        <v>77</v>
      </c>
      <c r="D78" s="4">
        <v>75</v>
      </c>
      <c r="E78" s="4">
        <v>75</v>
      </c>
      <c r="F78" s="4">
        <f>C78*J74+D78*K74+E78*L74</f>
        <v>76.45</v>
      </c>
      <c r="G78" s="4">
        <f t="shared" si="3"/>
        <v>1</v>
      </c>
    </row>
    <row r="79" spans="2:15" x14ac:dyDescent="0.25">
      <c r="C79" s="11">
        <v>70</v>
      </c>
      <c r="D79" s="11">
        <v>74</v>
      </c>
      <c r="E79" s="11">
        <v>80</v>
      </c>
      <c r="F79" s="11">
        <f>C79*J74+D79*K74+E79*L74</f>
        <v>75.349999999999994</v>
      </c>
      <c r="G79" s="12">
        <f t="shared" si="3"/>
        <v>1</v>
      </c>
      <c r="H79" s="22" t="s">
        <v>29</v>
      </c>
      <c r="I79" s="22"/>
    </row>
    <row r="80" spans="2:15" x14ac:dyDescent="0.25">
      <c r="C80" s="11">
        <v>60</v>
      </c>
      <c r="D80" s="11">
        <v>69</v>
      </c>
      <c r="E80" s="11">
        <v>90</v>
      </c>
      <c r="F80" s="11">
        <f>C80*J74+D80*K74+E80*L74</f>
        <v>73.575000000000003</v>
      </c>
      <c r="G80" s="12">
        <f t="shared" si="3"/>
        <v>0</v>
      </c>
      <c r="H80" s="22"/>
      <c r="I80" s="22"/>
    </row>
    <row r="81" spans="3:9" x14ac:dyDescent="0.25">
      <c r="C81" s="11">
        <v>75</v>
      </c>
      <c r="D81" s="11">
        <v>80</v>
      </c>
      <c r="E81" s="11">
        <v>90</v>
      </c>
      <c r="F81" s="11">
        <f>C81*J74+D81*K74+E81*L74</f>
        <v>82.4</v>
      </c>
      <c r="G81" s="12">
        <f t="shared" si="3"/>
        <v>1</v>
      </c>
      <c r="H81" s="22"/>
      <c r="I81" s="22"/>
    </row>
    <row r="82" spans="3:9" x14ac:dyDescent="0.25">
      <c r="C82" s="11">
        <v>83</v>
      </c>
      <c r="D82" s="11">
        <v>79</v>
      </c>
      <c r="E82" s="11">
        <v>88</v>
      </c>
      <c r="F82" s="11">
        <f>C82*J74+D82*K74+E82*L74</f>
        <v>84.205000000000013</v>
      </c>
      <c r="G82" s="12">
        <f t="shared" si="3"/>
        <v>1</v>
      </c>
      <c r="H82" s="22"/>
      <c r="I82" s="22"/>
    </row>
  </sheetData>
  <mergeCells count="9">
    <mergeCell ref="M1:P1"/>
    <mergeCell ref="M9:P9"/>
    <mergeCell ref="A18:A21"/>
    <mergeCell ref="B30:B44"/>
    <mergeCell ref="B45:B59"/>
    <mergeCell ref="B60:B74"/>
    <mergeCell ref="B75:B78"/>
    <mergeCell ref="H79:I82"/>
    <mergeCell ref="H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ISWAN SYAHRIANI</dc:creator>
  <cp:lastModifiedBy>ISWAN SYAHRIANI</cp:lastModifiedBy>
  <dcterms:created xsi:type="dcterms:W3CDTF">2026-09-11T05:45:21Z</dcterms:created>
  <dcterms:modified xsi:type="dcterms:W3CDTF">2026-09-22T12:04:45Z</dcterms:modified>
</cp:coreProperties>
</file>